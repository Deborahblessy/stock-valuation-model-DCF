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BORAH\Learning\Project portfolio - FP and A\Infosys-fpa-project\stock-valuation-model\model\"/>
    </mc:Choice>
  </mc:AlternateContent>
  <xr:revisionPtr revIDLastSave="0" documentId="13_ncr:1_{A903FB68-84D7-4932-BB0C-C468F8B86B7D}" xr6:coauthVersionLast="47" xr6:coauthVersionMax="47" xr10:uidLastSave="{00000000-0000-0000-0000-000000000000}"/>
  <bookViews>
    <workbookView xWindow="-110" yWindow="-110" windowWidth="19420" windowHeight="11500" activeTab="6" xr2:uid="{C1E95603-65AB-451D-9E26-BA4F44498D44}"/>
  </bookViews>
  <sheets>
    <sheet name="Inputs" sheetId="3" r:id="rId1"/>
    <sheet name="Historicals" sheetId="2" r:id="rId2"/>
    <sheet name="Beta Calc" sheetId="4" r:id="rId3"/>
    <sheet name="Forecast" sheetId="5" r:id="rId4"/>
    <sheet name="DCF" sheetId="6" r:id="rId5"/>
    <sheet name="Comps" sheetId="7" r:id="rId6"/>
    <sheet name="Output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18" i="6"/>
  <c r="C10" i="5"/>
  <c r="B3" i="4"/>
  <c r="D12" i="8"/>
  <c r="C12" i="8"/>
  <c r="G12" i="8" s="1"/>
  <c r="B12" i="8"/>
  <c r="F12" i="8"/>
  <c r="B19" i="7"/>
  <c r="B18" i="7"/>
  <c r="E8" i="7"/>
  <c r="E7" i="7"/>
  <c r="E6" i="7"/>
  <c r="E5" i="7"/>
  <c r="F26" i="6"/>
  <c r="E26" i="6"/>
  <c r="C26" i="6"/>
  <c r="B26" i="6"/>
  <c r="D26" i="6"/>
  <c r="B22" i="6"/>
  <c r="B20" i="6"/>
  <c r="F8" i="5"/>
  <c r="E8" i="5"/>
  <c r="D8" i="5"/>
  <c r="C8" i="5"/>
  <c r="B8" i="5"/>
  <c r="E266" i="4"/>
  <c r="D266" i="4"/>
  <c r="E265" i="4"/>
  <c r="D265" i="4"/>
  <c r="E264" i="4"/>
  <c r="D264" i="4"/>
  <c r="E263" i="4"/>
  <c r="D263" i="4"/>
  <c r="E262" i="4"/>
  <c r="D262" i="4"/>
  <c r="E261" i="4"/>
  <c r="D261" i="4"/>
  <c r="E260" i="4"/>
  <c r="D260" i="4"/>
  <c r="E259" i="4"/>
  <c r="D259" i="4"/>
  <c r="E258" i="4"/>
  <c r="D258" i="4"/>
  <c r="E257" i="4"/>
  <c r="D257" i="4"/>
  <c r="E256" i="4"/>
  <c r="D256" i="4"/>
  <c r="E255" i="4"/>
  <c r="D255" i="4"/>
  <c r="E254" i="4"/>
  <c r="D254" i="4"/>
  <c r="E253" i="4"/>
  <c r="D253" i="4"/>
  <c r="E252" i="4"/>
  <c r="D252" i="4"/>
  <c r="E251" i="4"/>
  <c r="D251" i="4"/>
  <c r="E250" i="4"/>
  <c r="D250" i="4"/>
  <c r="E249" i="4"/>
  <c r="D249" i="4"/>
  <c r="E248" i="4"/>
  <c r="D248" i="4"/>
  <c r="E247" i="4"/>
  <c r="D247" i="4"/>
  <c r="E246" i="4"/>
  <c r="D246" i="4"/>
  <c r="E245" i="4"/>
  <c r="D245" i="4"/>
  <c r="E244" i="4"/>
  <c r="D244" i="4"/>
  <c r="E243" i="4"/>
  <c r="D243" i="4"/>
  <c r="E242" i="4"/>
  <c r="D242" i="4"/>
  <c r="E241" i="4"/>
  <c r="D241" i="4"/>
  <c r="E240" i="4"/>
  <c r="D240" i="4"/>
  <c r="E239" i="4"/>
  <c r="D239" i="4"/>
  <c r="E238" i="4"/>
  <c r="D238" i="4"/>
  <c r="E237" i="4"/>
  <c r="D237" i="4"/>
  <c r="E236" i="4"/>
  <c r="D236" i="4"/>
  <c r="E235" i="4"/>
  <c r="D235" i="4"/>
  <c r="E234" i="4"/>
  <c r="D234" i="4"/>
  <c r="E233" i="4"/>
  <c r="D233" i="4"/>
  <c r="E232" i="4"/>
  <c r="D232" i="4"/>
  <c r="E231" i="4"/>
  <c r="D231" i="4"/>
  <c r="E230" i="4"/>
  <c r="D230" i="4"/>
  <c r="E229" i="4"/>
  <c r="D229" i="4"/>
  <c r="E228" i="4"/>
  <c r="D228" i="4"/>
  <c r="E227" i="4"/>
  <c r="D227" i="4"/>
  <c r="E226" i="4"/>
  <c r="D226" i="4"/>
  <c r="E225" i="4"/>
  <c r="D225" i="4"/>
  <c r="E224" i="4"/>
  <c r="D224" i="4"/>
  <c r="E223" i="4"/>
  <c r="D223" i="4"/>
  <c r="E222" i="4"/>
  <c r="D222" i="4"/>
  <c r="E221" i="4"/>
  <c r="D221" i="4"/>
  <c r="E220" i="4"/>
  <c r="D220" i="4"/>
  <c r="E219" i="4"/>
  <c r="D219" i="4"/>
  <c r="E218" i="4"/>
  <c r="D218" i="4"/>
  <c r="E217" i="4"/>
  <c r="D217" i="4"/>
  <c r="E216" i="4"/>
  <c r="D216" i="4"/>
  <c r="E215" i="4"/>
  <c r="D215" i="4"/>
  <c r="E214" i="4"/>
  <c r="D214" i="4"/>
  <c r="E213" i="4"/>
  <c r="D213" i="4"/>
  <c r="E212" i="4"/>
  <c r="D212" i="4"/>
  <c r="E211" i="4"/>
  <c r="D211" i="4"/>
  <c r="E210" i="4"/>
  <c r="D210" i="4"/>
  <c r="E209" i="4"/>
  <c r="D209" i="4"/>
  <c r="E208" i="4"/>
  <c r="D208" i="4"/>
  <c r="E207" i="4"/>
  <c r="D207" i="4"/>
  <c r="E206" i="4"/>
  <c r="D206" i="4"/>
  <c r="E205" i="4"/>
  <c r="D205" i="4"/>
  <c r="E204" i="4"/>
  <c r="D204" i="4"/>
  <c r="E203" i="4"/>
  <c r="D203" i="4"/>
  <c r="E202" i="4"/>
  <c r="D202" i="4"/>
  <c r="E201" i="4"/>
  <c r="D201" i="4"/>
  <c r="E200" i="4"/>
  <c r="D200" i="4"/>
  <c r="E199" i="4"/>
  <c r="D199" i="4"/>
  <c r="E198" i="4"/>
  <c r="D198" i="4"/>
  <c r="E197" i="4"/>
  <c r="D197" i="4"/>
  <c r="E196" i="4"/>
  <c r="D196" i="4"/>
  <c r="E195" i="4"/>
  <c r="D195" i="4"/>
  <c r="E194" i="4"/>
  <c r="D194" i="4"/>
  <c r="E193" i="4"/>
  <c r="D193" i="4"/>
  <c r="E192" i="4"/>
  <c r="D192" i="4"/>
  <c r="E191" i="4"/>
  <c r="D191" i="4"/>
  <c r="E190" i="4"/>
  <c r="D190" i="4"/>
  <c r="E189" i="4"/>
  <c r="D189" i="4"/>
  <c r="E188" i="4"/>
  <c r="D188" i="4"/>
  <c r="E187" i="4"/>
  <c r="D187" i="4"/>
  <c r="E186" i="4"/>
  <c r="D186" i="4"/>
  <c r="E185" i="4"/>
  <c r="D185" i="4"/>
  <c r="E184" i="4"/>
  <c r="D184" i="4"/>
  <c r="E183" i="4"/>
  <c r="D183" i="4"/>
  <c r="E182" i="4"/>
  <c r="D182" i="4"/>
  <c r="E181" i="4"/>
  <c r="D181" i="4"/>
  <c r="E180" i="4"/>
  <c r="D180" i="4"/>
  <c r="E179" i="4"/>
  <c r="D179" i="4"/>
  <c r="E178" i="4"/>
  <c r="D178" i="4"/>
  <c r="E177" i="4"/>
  <c r="D177" i="4"/>
  <c r="E176" i="4"/>
  <c r="D176" i="4"/>
  <c r="E175" i="4"/>
  <c r="D175" i="4"/>
  <c r="E174" i="4"/>
  <c r="D174" i="4"/>
  <c r="E173" i="4"/>
  <c r="D173" i="4"/>
  <c r="E172" i="4"/>
  <c r="D172" i="4"/>
  <c r="E171" i="4"/>
  <c r="D171" i="4"/>
  <c r="E170" i="4"/>
  <c r="D170" i="4"/>
  <c r="E169" i="4"/>
  <c r="D169" i="4"/>
  <c r="E168" i="4"/>
  <c r="D168" i="4"/>
  <c r="E167" i="4"/>
  <c r="D167" i="4"/>
  <c r="E166" i="4"/>
  <c r="D166" i="4"/>
  <c r="E165" i="4"/>
  <c r="D165" i="4"/>
  <c r="E164" i="4"/>
  <c r="D164" i="4"/>
  <c r="E163" i="4"/>
  <c r="D163" i="4"/>
  <c r="E162" i="4"/>
  <c r="D162" i="4"/>
  <c r="E161" i="4"/>
  <c r="D161" i="4"/>
  <c r="E160" i="4"/>
  <c r="D160" i="4"/>
  <c r="E159" i="4"/>
  <c r="D159" i="4"/>
  <c r="E158" i="4"/>
  <c r="D158" i="4"/>
  <c r="E157" i="4"/>
  <c r="D157" i="4"/>
  <c r="E156" i="4"/>
  <c r="D156" i="4"/>
  <c r="E155" i="4"/>
  <c r="D155" i="4"/>
  <c r="E154" i="4"/>
  <c r="D154" i="4"/>
  <c r="E153" i="4"/>
  <c r="D153" i="4"/>
  <c r="E152" i="4"/>
  <c r="D152" i="4"/>
  <c r="E151" i="4"/>
  <c r="D151" i="4"/>
  <c r="E150" i="4"/>
  <c r="D150" i="4"/>
  <c r="E149" i="4"/>
  <c r="D149" i="4"/>
  <c r="E148" i="4"/>
  <c r="D148" i="4"/>
  <c r="E147" i="4"/>
  <c r="D147" i="4"/>
  <c r="E146" i="4"/>
  <c r="D146" i="4"/>
  <c r="E145" i="4"/>
  <c r="D145" i="4"/>
  <c r="E144" i="4"/>
  <c r="D144" i="4"/>
  <c r="E143" i="4"/>
  <c r="D143" i="4"/>
  <c r="E142" i="4"/>
  <c r="D142" i="4"/>
  <c r="E141" i="4"/>
  <c r="D141" i="4"/>
  <c r="E140" i="4"/>
  <c r="D140" i="4"/>
  <c r="E139" i="4"/>
  <c r="D139" i="4"/>
  <c r="E138" i="4"/>
  <c r="D138" i="4"/>
  <c r="E137" i="4"/>
  <c r="D137" i="4"/>
  <c r="E136" i="4"/>
  <c r="D136" i="4"/>
  <c r="E135" i="4"/>
  <c r="D135" i="4"/>
  <c r="E134" i="4"/>
  <c r="D134" i="4"/>
  <c r="E133" i="4"/>
  <c r="D133" i="4"/>
  <c r="E132" i="4"/>
  <c r="D132" i="4"/>
  <c r="E131" i="4"/>
  <c r="D131" i="4"/>
  <c r="E130" i="4"/>
  <c r="D130" i="4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B35" i="3"/>
  <c r="B32" i="3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B10" i="3"/>
  <c r="F16" i="3" s="1"/>
  <c r="F6" i="5" s="1"/>
  <c r="B34" i="3"/>
  <c r="B36" i="3" s="1"/>
  <c r="B33" i="3"/>
  <c r="B12" i="7" l="1"/>
  <c r="B13" i="7"/>
  <c r="B30" i="3"/>
  <c r="B31" i="3" s="1"/>
  <c r="B38" i="3" s="1"/>
  <c r="B37" i="3"/>
  <c r="B16" i="3"/>
  <c r="C16" i="3"/>
  <c r="C6" i="5" s="1"/>
  <c r="D16" i="3"/>
  <c r="D6" i="5" s="1"/>
  <c r="E16" i="3"/>
  <c r="E6" i="5" s="1"/>
  <c r="D4" i="8" l="1"/>
  <c r="A31" i="6"/>
  <c r="F7" i="6"/>
  <c r="A30" i="6"/>
  <c r="E7" i="6"/>
  <c r="A27" i="6"/>
  <c r="D7" i="6"/>
  <c r="A28" i="6"/>
  <c r="C7" i="6"/>
  <c r="A29" i="6"/>
  <c r="B7" i="6"/>
  <c r="B6" i="5"/>
  <c r="B5" i="5"/>
  <c r="G31" i="2"/>
  <c r="G32" i="2" s="1"/>
  <c r="G27" i="2"/>
  <c r="G28" i="2" s="1"/>
  <c r="F27" i="2"/>
  <c r="F28" i="2" s="1"/>
  <c r="E27" i="2"/>
  <c r="E28" i="2" s="1"/>
  <c r="D27" i="2"/>
  <c r="D28" i="2" s="1"/>
  <c r="C27" i="2"/>
  <c r="C28" i="2" s="1"/>
  <c r="B27" i="2"/>
  <c r="B28" i="2" s="1"/>
  <c r="G21" i="2"/>
  <c r="F21" i="2"/>
  <c r="E21" i="2"/>
  <c r="D21" i="2"/>
  <c r="C21" i="2"/>
  <c r="B21" i="2"/>
  <c r="G18" i="2"/>
  <c r="F18" i="2"/>
  <c r="E18" i="2"/>
  <c r="D18" i="2"/>
  <c r="C18" i="2"/>
  <c r="G10" i="2"/>
  <c r="F10" i="2"/>
  <c r="E10" i="2"/>
  <c r="D10" i="2"/>
  <c r="C10" i="2"/>
  <c r="B10" i="2"/>
  <c r="G8" i="2"/>
  <c r="F8" i="2"/>
  <c r="E8" i="2"/>
  <c r="D8" i="2"/>
  <c r="C8" i="2"/>
  <c r="B8" i="2"/>
  <c r="G6" i="2"/>
  <c r="F6" i="2"/>
  <c r="E6" i="2"/>
  <c r="D6" i="2"/>
  <c r="C6" i="2"/>
  <c r="B15" i="5" l="1"/>
  <c r="B16" i="5" s="1"/>
  <c r="B7" i="5"/>
  <c r="B9" i="5"/>
  <c r="B13" i="5" s="1"/>
  <c r="C5" i="5"/>
  <c r="B14" i="5"/>
  <c r="C9" i="5" l="1"/>
  <c r="C13" i="5" s="1"/>
  <c r="D5" i="5"/>
  <c r="C7" i="5"/>
  <c r="C14" i="5"/>
  <c r="C15" i="5"/>
  <c r="C16" i="5" s="1"/>
  <c r="B17" i="7"/>
  <c r="B22" i="7" s="1"/>
  <c r="B10" i="5"/>
  <c r="B11" i="5" l="1"/>
  <c r="B12" i="5" s="1"/>
  <c r="C11" i="8"/>
  <c r="B11" i="8"/>
  <c r="F11" i="8" s="1"/>
  <c r="D11" i="8"/>
  <c r="C11" i="5"/>
  <c r="C12" i="5" s="1"/>
  <c r="C17" i="5" s="1"/>
  <c r="C6" i="6" s="1"/>
  <c r="C8" i="6" s="1"/>
  <c r="D9" i="5"/>
  <c r="D13" i="5" s="1"/>
  <c r="E5" i="5"/>
  <c r="D14" i="5"/>
  <c r="D15" i="5"/>
  <c r="D16" i="5" s="1"/>
  <c r="D7" i="5"/>
  <c r="D10" i="5" s="1"/>
  <c r="D11" i="5" l="1"/>
  <c r="D12" i="5" s="1"/>
  <c r="D17" i="5" s="1"/>
  <c r="D6" i="6" s="1"/>
  <c r="D8" i="6" s="1"/>
  <c r="G11" i="8"/>
  <c r="E14" i="5"/>
  <c r="F5" i="5"/>
  <c r="E15" i="5"/>
  <c r="E16" i="5" s="1"/>
  <c r="E9" i="5"/>
  <c r="E13" i="5" s="1"/>
  <c r="E7" i="5"/>
  <c r="E10" i="5" s="1"/>
  <c r="B17" i="5"/>
  <c r="B16" i="7"/>
  <c r="B21" i="7" s="1"/>
  <c r="B6" i="6" l="1"/>
  <c r="B8" i="6" s="1"/>
  <c r="D10" i="8"/>
  <c r="C10" i="8"/>
  <c r="B10" i="8"/>
  <c r="F10" i="8" s="1"/>
  <c r="E11" i="5"/>
  <c r="E12" i="5"/>
  <c r="E17" i="5" s="1"/>
  <c r="E6" i="6" s="1"/>
  <c r="E8" i="6" s="1"/>
  <c r="F7" i="5"/>
  <c r="F9" i="5"/>
  <c r="F13" i="5" s="1"/>
  <c r="F14" i="5"/>
  <c r="F15" i="5"/>
  <c r="F16" i="5" s="1"/>
  <c r="F10" i="5" l="1"/>
  <c r="G10" i="8"/>
  <c r="F11" i="5" l="1"/>
  <c r="F12" i="5" s="1"/>
  <c r="F17" i="5" s="1"/>
  <c r="F6" i="6" l="1"/>
  <c r="F30" i="6" a="1"/>
  <c r="F30" i="6" s="1"/>
  <c r="F28" i="6" a="1"/>
  <c r="F28" i="6" s="1"/>
  <c r="B29" i="6" a="1"/>
  <c r="B29" i="6" s="1"/>
  <c r="B27" i="6" a="1"/>
  <c r="B27" i="6" s="1"/>
  <c r="E28" i="6" a="1"/>
  <c r="E28" i="6" s="1"/>
  <c r="C27" i="6" a="1"/>
  <c r="C27" i="6" s="1"/>
  <c r="C28" i="6" a="1"/>
  <c r="C28" i="6" s="1"/>
  <c r="C29" i="6" a="1"/>
  <c r="C29" i="6" s="1"/>
  <c r="D27" i="6" a="1"/>
  <c r="D27" i="6" s="1"/>
  <c r="E31" i="6" a="1"/>
  <c r="E31" i="6" s="1"/>
  <c r="B30" i="6" a="1"/>
  <c r="B30" i="6" s="1"/>
  <c r="F27" i="6" a="1"/>
  <c r="F27" i="6" s="1"/>
  <c r="B28" i="6" a="1"/>
  <c r="B28" i="6" s="1"/>
  <c r="D30" i="6" a="1"/>
  <c r="D30" i="6" s="1"/>
  <c r="C31" i="6" a="1"/>
  <c r="C31" i="6" s="1"/>
  <c r="D31" i="6" a="1"/>
  <c r="D31" i="6" s="1"/>
  <c r="E29" i="6" a="1"/>
  <c r="E29" i="6" s="1"/>
  <c r="D29" i="6" a="1"/>
  <c r="D29" i="6" s="1"/>
  <c r="B31" i="6" a="1"/>
  <c r="B31" i="6" s="1"/>
  <c r="E30" i="6" a="1"/>
  <c r="E30" i="6" s="1"/>
  <c r="F29" i="6" a="1"/>
  <c r="F29" i="6" s="1"/>
  <c r="D28" i="6" a="1"/>
  <c r="D28" i="6" s="1"/>
  <c r="F31" i="6" a="1"/>
  <c r="F31" i="6" s="1"/>
  <c r="E27" i="6" a="1"/>
  <c r="E27" i="6" s="1"/>
  <c r="C30" i="6" a="1"/>
  <c r="C30" i="6" s="1"/>
  <c r="B9" i="8" l="1"/>
  <c r="F9" i="8" s="1"/>
  <c r="C9" i="8"/>
  <c r="F8" i="6"/>
  <c r="B11" i="6" s="1"/>
  <c r="B12" i="6"/>
  <c r="B13" i="6" s="1"/>
  <c r="G9" i="8" l="1"/>
  <c r="B16" i="6"/>
  <c r="B19" i="6" s="1"/>
  <c r="B21" i="6" s="1"/>
  <c r="B17" i="6" l="1"/>
  <c r="E4" i="8" s="1"/>
  <c r="D9" i="8"/>
  <c r="B23" i="6"/>
  <c r="C4" i="8" s="1"/>
  <c r="A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<sst xmlns="http://schemas.openxmlformats.org/spreadsheetml/2006/main" count="196" uniqueCount="152">
  <si>
    <t>INCOME STATEMENT (₹ Crore, Consolidated IFRS)</t>
  </si>
  <si>
    <t>Particulars</t>
  </si>
  <si>
    <t>FY21A</t>
  </si>
  <si>
    <t>FY22A</t>
  </si>
  <si>
    <t>FY23A</t>
  </si>
  <si>
    <t>FY24A</t>
  </si>
  <si>
    <t>FY25A</t>
  </si>
  <si>
    <t>FY26A</t>
  </si>
  <si>
    <t>Revenue</t>
  </si>
  <si>
    <t>Revenue Growth % YoY</t>
  </si>
  <si>
    <t>EBITDA Margin %</t>
  </si>
  <si>
    <t>Depreciation &amp; Amortisation</t>
  </si>
  <si>
    <t>EBIT</t>
  </si>
  <si>
    <t>Net Profit</t>
  </si>
  <si>
    <t>Effective Tax Rate %</t>
  </si>
  <si>
    <t>BALANCE SHEET &amp; CAPITAL STRUCTURE (₹ Crore)</t>
  </si>
  <si>
    <t>Total Borrowings (Debt)</t>
  </si>
  <si>
    <t>Cash &amp; Cash Equivalents</t>
  </si>
  <si>
    <t>Working Capital Days</t>
  </si>
  <si>
    <t>CASH FLOW &amp; COST OF DEBT (₹ Crore)</t>
  </si>
  <si>
    <t>Cash from Operating Activity</t>
  </si>
  <si>
    <t>Capex % of Revenue</t>
  </si>
  <si>
    <t>Interest</t>
  </si>
  <si>
    <t xml:space="preserve">Average Debt </t>
  </si>
  <si>
    <t>MARKET DATA</t>
  </si>
  <si>
    <t>Current Share Price (₹)</t>
  </si>
  <si>
    <t>Shares Outstanding (Cr)</t>
  </si>
  <si>
    <t>≈ Equity Capital ₹2,024 Cr ÷ ₹5 face value (FY26); matches ~4.05bn shares reported by data providers</t>
  </si>
  <si>
    <t>Valuation / Base Year</t>
  </si>
  <si>
    <t>FY2026A (year ended 31-Mar-2026)</t>
  </si>
  <si>
    <t>SCENARIO TOGGLE</t>
  </si>
  <si>
    <t>Scenario (1 = Bull, 2 = Base, 3 = Bear)</t>
  </si>
  <si>
    <t>Growth adjustment applied to every forecast year (pp)</t>
  </si>
  <si>
    <t>Fiscal Year</t>
  </si>
  <si>
    <t>FY27E</t>
  </si>
  <si>
    <t>FY28E</t>
  </si>
  <si>
    <t>FY29E</t>
  </si>
  <si>
    <t>FY30E</t>
  </si>
  <si>
    <t>FY31E</t>
  </si>
  <si>
    <t>Base-case Revenue Growth %</t>
  </si>
  <si>
    <t>Scenario-Adjusted Revenue Growth %</t>
  </si>
  <si>
    <t>MARGIN &amp; FCF DRIVERS</t>
  </si>
  <si>
    <t>Tax Rate %</t>
  </si>
  <si>
    <t>D&amp;A % of Revenue</t>
  </si>
  <si>
    <t>FY26A Capex (derived) / Revenue = 2,727/178,650 ≈ 1.5%</t>
  </si>
  <si>
    <t>Net Working Capital (Days of Revenue)</t>
  </si>
  <si>
    <t>WACC BUILD (CAPM)</t>
  </si>
  <si>
    <t>Risk-free Rate, Rf (10Y India G-Sec)</t>
  </si>
  <si>
    <t>Equity Risk Premium, ERP (India)</t>
  </si>
  <si>
    <t>TERMINAL VALUE</t>
  </si>
  <si>
    <t>Terminal Growth Rate, g (Gordon Growth)</t>
  </si>
  <si>
    <t>FY26A: 23.7%; gradual expansion reflecting efficiency improvements.</t>
  </si>
  <si>
    <t>FY26A effective tax rate: 26.0%; held constant.</t>
  </si>
  <si>
    <t>~FY26A: 4,902 / 178,650 = 2.7%</t>
  </si>
  <si>
    <t>FY26A: 33 days; held constant</t>
  </si>
  <si>
    <t>Beta (5Y weekly, SLOPE)</t>
  </si>
  <si>
    <t>Date</t>
  </si>
  <si>
    <t>INFY Close (₹)</t>
  </si>
  <si>
    <t>NIFTY50 Close</t>
  </si>
  <si>
    <t>INFY Weekly Return</t>
  </si>
  <si>
    <t>NIFTY Weekly Return</t>
  </si>
  <si>
    <t>Kept ≤ long-run India nominal GDP growth ,maintains &gt;8 pt spread to WACC per Gordon Growth convention.</t>
  </si>
  <si>
    <t>BETA REGRESSION -  5Y Weekly Returns, INFY vs NIFTY 50 (SLOPE)</t>
  </si>
  <si>
    <t>NSE close, 10-Aug-2026  Yahoo Finance</t>
  </si>
  <si>
    <t>Source:Investing.com -5Y weekly regression (SLOPE), INFY vs Nifty 50, 09-Aug-2021 to 09-Aug-2026</t>
  </si>
  <si>
    <t>FORECAST P&amp;L &amp; FREE CASH FLOW TO FIRM (₹ Crore)</t>
  </si>
  <si>
    <t>EBITDA</t>
  </si>
  <si>
    <t>Less: Tax on EBIT</t>
  </si>
  <si>
    <t>(+) Add back D&amp;A</t>
  </si>
  <si>
    <t>(−) Capex</t>
  </si>
  <si>
    <t>(−) Increase in Net Working Capital</t>
  </si>
  <si>
    <t>FREE CASH FLOW TO FIRM (FCFF)</t>
  </si>
  <si>
    <t xml:space="preserve">  Revenue Growth % </t>
  </si>
  <si>
    <t>INFOSYS LTD (NSE: INFY) - DCF VALUATION MODEL</t>
  </si>
  <si>
    <t>Forecast Year (n)</t>
  </si>
  <si>
    <t>PV of FCFF</t>
  </si>
  <si>
    <t xml:space="preserve">  TV as % of Enterprise Value</t>
  </si>
  <si>
    <t>Less: Net Debt (FY26A, from Historicals)</t>
  </si>
  <si>
    <t>Equity Value</t>
  </si>
  <si>
    <t>÷ Shares Outstanding (Cr)</t>
  </si>
  <si>
    <t>INTRINSIC VALUE PER SHARE</t>
  </si>
  <si>
    <t>Current Market Price</t>
  </si>
  <si>
    <t>Implied Upside / (Downside)</t>
  </si>
  <si>
    <t>WACC \ g</t>
  </si>
  <si>
    <t>Company</t>
  </si>
  <si>
    <t>Mkt Cap (₹Cr)</t>
  </si>
  <si>
    <t>TTM Revenue (₹Cr)</t>
  </si>
  <si>
    <t>TTM Net Profit (₹Cr)</t>
  </si>
  <si>
    <t>P/E (x)</t>
  </si>
  <si>
    <t>EV/EBITDA (x)</t>
  </si>
  <si>
    <t>Tata Consultancy Services (TCS)</t>
  </si>
  <si>
    <t>HCL Technologies (HCLTECH)</t>
  </si>
  <si>
    <t>Wipro (WIPRO)</t>
  </si>
  <si>
    <t>Tech Mahindra (TECHM)</t>
  </si>
  <si>
    <t>Median Peer P/E</t>
  </si>
  <si>
    <t>Median Peer EV/EBITDA</t>
  </si>
  <si>
    <t>APPLY PEER MULTIPLES TO INFOSYS (FY27E)</t>
  </si>
  <si>
    <t>Infosys FY27E EBITDA (₹Cr)</t>
  </si>
  <si>
    <t>Net Debt (FY26A, ₹Cr)</t>
  </si>
  <si>
    <t>RELATIVE VALUATION - PEER COMPARABLE COMPANIES</t>
  </si>
  <si>
    <t>Intrinsic Value / Share</t>
  </si>
  <si>
    <t>WACC</t>
  </si>
  <si>
    <t>TV % of EV</t>
  </si>
  <si>
    <t>Method</t>
  </si>
  <si>
    <t>Low</t>
  </si>
  <si>
    <t>High</t>
  </si>
  <si>
    <t>Point Estimate</t>
  </si>
  <si>
    <t>Base (helper)</t>
  </si>
  <si>
    <t>Spread (helper)</t>
  </si>
  <si>
    <t>DCF (Sensitivity Range)</t>
  </si>
  <si>
    <t>P/E Comps (±5% of point estimate)</t>
  </si>
  <si>
    <t>EV/EBITDA Comps (±5%)</t>
  </si>
  <si>
    <t>Tapers from 10% in FY27E toward ~6% by FY31E, reflecting normalization from FY26A growth of 9.6% toward recent mid-single-digit Indian IT-services industry growth. Historical 3Y/5Y sales CAGR is ~7%/~12%.</t>
  </si>
  <si>
    <t xml:space="preserve">Source: CCIL , As of: 10-Aug-2026 </t>
  </si>
  <si>
    <t xml:space="preserve">Source: Damodaran (NYU Stern), Country Risk Premium dataset , July 2026 semiannual update </t>
  </si>
  <si>
    <t xml:space="preserve">  EBITDA Margin % </t>
  </si>
  <si>
    <t xml:space="preserve">FCFF </t>
  </si>
  <si>
    <t xml:space="preserve">Free Cash Flow </t>
  </si>
  <si>
    <t>Net Debt</t>
  </si>
  <si>
    <t xml:space="preserve">Capex </t>
  </si>
  <si>
    <t xml:space="preserve">Beta </t>
  </si>
  <si>
    <t>Cost of Equity</t>
  </si>
  <si>
    <t>Pre-tax Cost of Debt</t>
  </si>
  <si>
    <t>Post-tax Cost of Debt</t>
  </si>
  <si>
    <t>Equity Weight</t>
  </si>
  <si>
    <t>Market Value of Equity (₹ Cr)</t>
  </si>
  <si>
    <t>Market Value of Debt (₹ Cr, FY26A borrowings)</t>
  </si>
  <si>
    <t>Debt Weight</t>
  </si>
  <si>
    <t xml:space="preserve">NOPAT </t>
  </si>
  <si>
    <t xml:space="preserve"> </t>
  </si>
  <si>
    <t>DISCOUNTED CASH FLOW - ENTERPRISE VALUE TO PER-SHARE VALUE</t>
  </si>
  <si>
    <t>Discount Factor</t>
  </si>
  <si>
    <t>STEP 1 - DISCOUNT EXPLICIT FCFF (FY27E-FY31E)</t>
  </si>
  <si>
    <t>STEP 2 - TERMINAL VALUE (GORDON GROWTH)</t>
  </si>
  <si>
    <t>Sum of PV of FCFF (FY27E-FY31E)</t>
  </si>
  <si>
    <t xml:space="preserve">Terminal Value </t>
  </si>
  <si>
    <t>PV of Terminal Value</t>
  </si>
  <si>
    <t xml:space="preserve">Enterprise Value </t>
  </si>
  <si>
    <t>PEER SET - MARKET DATA (as of 08-10 August 2026)</t>
  </si>
  <si>
    <t>VALUATION FOOTBALL FIELD - VALUE PER SHARE (₹) BY METHOD</t>
  </si>
  <si>
    <t xml:space="preserve">Implied Value/Share - P/E method </t>
  </si>
  <si>
    <t xml:space="preserve">Implied Value/Share - EV/EBITDA method </t>
  </si>
  <si>
    <t>Infosys FY27E NOPAT  (₹Cr)</t>
  </si>
  <si>
    <t>INFOSYS LTD - VALUATION OUTPUT SUMMARY</t>
  </si>
  <si>
    <t>REVENUE GROWTH % - 5 YEAR FORECAST (FY27–FY31)</t>
  </si>
  <si>
    <t>INFOSYS LTD -  5 YEAR HISTORICALS (FY22A - FY26A) + RATIO ANALYSIS</t>
  </si>
  <si>
    <t>Net Working Capital (₹ Cr)</t>
  </si>
  <si>
    <t>5-YEAR DRIVER BASED FORECAST (FY27E- FY31E)</t>
  </si>
  <si>
    <t xml:space="preserve">  Net Working Capital (₹ Cr)</t>
  </si>
  <si>
    <t>STEP 3 - ENTERPRISE VALUE | EQUITY VALUE | PER-SHARE VALUE</t>
  </si>
  <si>
    <t>STEP 4 - TWO WAY SENSITIVITY: VALUE PER SHARE (₹) - WACC (rows) × Terminal Growth g (columns)</t>
  </si>
  <si>
    <t xml:space="preserve">PEER MEDIAN MULTIPLES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</si>
</sst>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\₹#,##0.00"/>
    <numFmt numFmtId="166" formatCode="#,##0.0"/>
    <numFmt numFmtId="167" formatCode="0.000"/>
    <numFmt numFmtId="168" formatCode="0.0\x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4"/>
      <color rgb="FF1F2937"/>
      <name val="Arial"/>
      <family val="2"/>
    </font>
    <font>
      <sz val="10"/>
      <color rgb="FF000000"/>
      <name val="Arial"/>
      <family val="2"/>
    </font>
    <font>
      <b/>
      <sz val="14"/>
      <color rgb="FF1F2937"/>
      <name val="Arial"/>
      <charset val="1"/>
    </font>
    <font>
      <i/>
      <sz val="8"/>
      <color rgb="FF808080"/>
      <name val="Arial"/>
      <charset val="1"/>
    </font>
    <font>
      <sz val="10"/>
      <color rgb="FF008000"/>
      <name val="Arial"/>
      <charset val="1"/>
    </font>
    <font>
      <b/>
      <sz val="11"/>
      <color rgb="FF000000"/>
      <name val="Arial"/>
      <charset val="1"/>
    </font>
    <font>
      <i/>
      <sz val="8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8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rgb="FF1D4ED8"/>
      <name val="Arial"/>
      <family val="2"/>
    </font>
    <font>
      <sz val="10"/>
      <color rgb="FF0000FF"/>
      <name val="Arial"/>
      <family val="2"/>
    </font>
    <font>
      <b/>
      <sz val="9"/>
      <color rgb="FF4B5563"/>
      <name val="Arial"/>
      <family val="2"/>
    </font>
    <font>
      <b/>
      <sz val="18"/>
      <color rgb="FF1D4ED8"/>
      <name val="Arial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374151"/>
        <bgColor rgb="FF4B5563"/>
      </patternFill>
    </fill>
    <fill>
      <patternFill patternType="solid">
        <fgColor rgb="FFFFFF00"/>
        <bgColor rgb="FFFFFF00"/>
      </patternFill>
    </fill>
    <fill>
      <patternFill patternType="solid">
        <fgColor rgb="FFEFF6FF"/>
        <bgColor rgb="FFFFFFF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1" fillId="0" borderId="0" xfId="1"/>
    <xf numFmtId="0" fontId="2" fillId="2" borderId="0" xfId="1" applyFont="1" applyFill="1"/>
    <xf numFmtId="0" fontId="1" fillId="2" borderId="0" xfId="1" applyFill="1"/>
    <xf numFmtId="0" fontId="3" fillId="0" borderId="0" xfId="1" applyFont="1"/>
    <xf numFmtId="0" fontId="4" fillId="3" borderId="0" xfId="1" applyFont="1" applyFill="1" applyAlignment="1">
      <alignment horizontal="center"/>
    </xf>
    <xf numFmtId="3" fontId="5" fillId="0" borderId="0" xfId="1" applyNumberFormat="1" applyFont="1"/>
    <xf numFmtId="0" fontId="6" fillId="0" borderId="0" xfId="1" applyFont="1"/>
    <xf numFmtId="164" fontId="6" fillId="0" borderId="0" xfId="1" applyNumberFormat="1" applyFont="1"/>
    <xf numFmtId="0" fontId="5" fillId="0" borderId="0" xfId="1" applyFont="1"/>
    <xf numFmtId="3" fontId="6" fillId="0" borderId="0" xfId="1" applyNumberFormat="1" applyFont="1"/>
    <xf numFmtId="164" fontId="5" fillId="0" borderId="0" xfId="1" applyNumberFormat="1" applyFont="1"/>
    <xf numFmtId="1" fontId="5" fillId="0" borderId="0" xfId="1" applyNumberFormat="1" applyFont="1"/>
    <xf numFmtId="0" fontId="7" fillId="0" borderId="0" xfId="1" applyFont="1"/>
    <xf numFmtId="164" fontId="7" fillId="0" borderId="0" xfId="1" applyNumberFormat="1" applyFont="1"/>
    <xf numFmtId="0" fontId="8" fillId="0" borderId="0" xfId="1" applyFont="1"/>
    <xf numFmtId="0" fontId="9" fillId="0" borderId="0" xfId="1" applyFont="1"/>
    <xf numFmtId="0" fontId="10" fillId="0" borderId="0" xfId="1" applyFont="1"/>
    <xf numFmtId="165" fontId="5" fillId="0" borderId="0" xfId="1" applyNumberFormat="1" applyFont="1"/>
    <xf numFmtId="166" fontId="5" fillId="0" borderId="0" xfId="1" applyNumberFormat="1" applyFont="1"/>
    <xf numFmtId="0" fontId="5" fillId="4" borderId="0" xfId="1" applyFont="1" applyFill="1"/>
    <xf numFmtId="4" fontId="12" fillId="0" borderId="0" xfId="1" applyNumberFormat="1" applyFont="1"/>
    <xf numFmtId="164" fontId="12" fillId="0" borderId="0" xfId="1" applyNumberFormat="1" applyFont="1"/>
    <xf numFmtId="3" fontId="12" fillId="0" borderId="0" xfId="1" applyNumberFormat="1" applyFont="1"/>
    <xf numFmtId="164" fontId="5" fillId="4" borderId="0" xfId="1" applyNumberFormat="1" applyFont="1" applyFill="1"/>
    <xf numFmtId="4" fontId="13" fillId="4" borderId="0" xfId="1" applyNumberFormat="1" applyFont="1" applyFill="1"/>
    <xf numFmtId="14" fontId="5" fillId="0" borderId="0" xfId="1" applyNumberFormat="1" applyFont="1"/>
    <xf numFmtId="0" fontId="14" fillId="0" borderId="0" xfId="1" applyFont="1"/>
    <xf numFmtId="0" fontId="15" fillId="2" borderId="0" xfId="1" applyFont="1" applyFill="1"/>
    <xf numFmtId="0" fontId="16" fillId="0" borderId="0" xfId="1" applyFont="1"/>
    <xf numFmtId="0" fontId="17" fillId="3" borderId="0" xfId="1" applyFont="1" applyFill="1" applyAlignment="1">
      <alignment horizontal="center"/>
    </xf>
    <xf numFmtId="3" fontId="9" fillId="0" borderId="0" xfId="1" applyNumberFormat="1" applyFont="1"/>
    <xf numFmtId="164" fontId="18" fillId="0" borderId="0" xfId="1" applyNumberFormat="1" applyFont="1"/>
    <xf numFmtId="0" fontId="19" fillId="0" borderId="0" xfId="1" applyFont="1"/>
    <xf numFmtId="3" fontId="19" fillId="5" borderId="0" xfId="1" applyNumberFormat="1" applyFont="1" applyFill="1"/>
    <xf numFmtId="1" fontId="9" fillId="0" borderId="0" xfId="1" applyNumberFormat="1" applyFont="1"/>
    <xf numFmtId="0" fontId="18" fillId="0" borderId="0" xfId="1" applyFont="1"/>
    <xf numFmtId="3" fontId="18" fillId="0" borderId="0" xfId="1" applyNumberFormat="1" applyFont="1"/>
    <xf numFmtId="167" fontId="9" fillId="0" borderId="0" xfId="1" applyNumberFormat="1" applyFont="1"/>
    <xf numFmtId="0" fontId="20" fillId="0" borderId="0" xfId="1" applyFont="1"/>
    <xf numFmtId="3" fontId="20" fillId="5" borderId="0" xfId="1" applyNumberFormat="1" applyFont="1" applyFill="1"/>
    <xf numFmtId="164" fontId="9" fillId="0" borderId="0" xfId="1" applyNumberFormat="1" applyFont="1"/>
    <xf numFmtId="4" fontId="18" fillId="0" borderId="0" xfId="1" applyNumberFormat="1" applyFont="1"/>
    <xf numFmtId="0" fontId="21" fillId="0" borderId="0" xfId="1" applyFont="1"/>
    <xf numFmtId="165" fontId="22" fillId="4" borderId="0" xfId="1" applyNumberFormat="1" applyFont="1" applyFill="1"/>
    <xf numFmtId="165" fontId="18" fillId="0" borderId="0" xfId="1" applyNumberFormat="1" applyFont="1"/>
    <xf numFmtId="0" fontId="17" fillId="3" borderId="0" xfId="1" applyFont="1" applyFill="1"/>
    <xf numFmtId="164" fontId="17" fillId="3" borderId="0" xfId="1" applyNumberFormat="1" applyFont="1" applyFill="1" applyAlignment="1">
      <alignment horizontal="center"/>
    </xf>
    <xf numFmtId="164" fontId="17" fillId="3" borderId="0" xfId="1" applyNumberFormat="1" applyFont="1" applyFill="1"/>
    <xf numFmtId="165" fontId="9" fillId="0" borderId="0" xfId="1" applyNumberFormat="1" applyFont="1"/>
    <xf numFmtId="165" fontId="9" fillId="4" borderId="0" xfId="1" applyNumberFormat="1" applyFont="1" applyFill="1"/>
    <xf numFmtId="0" fontId="17" fillId="3" borderId="0" xfId="1" applyFont="1" applyFill="1" applyAlignment="1">
      <alignment horizontal="center" wrapText="1"/>
    </xf>
    <xf numFmtId="0" fontId="23" fillId="0" borderId="0" xfId="1" applyFont="1"/>
    <xf numFmtId="168" fontId="9" fillId="0" borderId="0" xfId="1" applyNumberFormat="1" applyFont="1"/>
    <xf numFmtId="3" fontId="23" fillId="0" borderId="0" xfId="0" applyNumberFormat="1" applyFont="1"/>
    <xf numFmtId="2" fontId="1" fillId="0" borderId="0" xfId="1" applyNumberFormat="1"/>
    <xf numFmtId="165" fontId="25" fillId="5" borderId="0" xfId="1" applyNumberFormat="1" applyFont="1" applyFill="1"/>
    <xf numFmtId="164" fontId="25" fillId="5" borderId="0" xfId="1" applyNumberFormat="1" applyFont="1" applyFill="1"/>
    <xf numFmtId="165" fontId="1" fillId="0" borderId="0" xfId="1" applyNumberFormat="1"/>
    <xf numFmtId="164" fontId="20" fillId="0" borderId="0" xfId="1" applyNumberFormat="1" applyFont="1"/>
    <xf numFmtId="165" fontId="26" fillId="5" borderId="0" xfId="1" applyNumberFormat="1" applyFont="1" applyFill="1"/>
    <xf numFmtId="0" fontId="24" fillId="5" borderId="0" xfId="1" applyFont="1" applyFill="1" applyAlignment="1">
      <alignment horizontal="right" wrapText="1"/>
    </xf>
    <xf numFmtId="0" fontId="17" fillId="3" borderId="0" xfId="1" applyFont="1" applyFill="1" applyAlignment="1">
      <alignment horizontal="right"/>
    </xf>
    <xf numFmtId="0" fontId="17" fillId="3" borderId="0" xfId="1" applyFont="1" applyFill="1" applyAlignment="1">
      <alignment horizontal="left" wrapText="1"/>
    </xf>
    <xf numFmtId="164" fontId="3" fillId="6" borderId="0" xfId="1" applyNumberFormat="1" applyFont="1" applyFill="1"/>
    <xf numFmtId="0" fontId="14" fillId="0" borderId="0" xfId="1" applyFont="1"/>
    <xf numFmtId="0" fontId="11" fillId="0" borderId="0" xfId="1" applyFont="1" applyAlignment="1">
      <alignment wrapText="1"/>
    </xf>
    <xf numFmtId="0" fontId="11" fillId="0" borderId="0" xfId="1" applyFont="1"/>
  </cellXfs>
  <cellStyles count="2">
    <cellStyle name="Normal" xfId="0" builtinId="0"/>
    <cellStyle name="Normal 2" xfId="1" xr:uid="{DB86717B-2E89-45F8-8DF4-2AE822FF93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Football Field -</a:t>
            </a:r>
            <a:r>
              <a:rPr lang="en-IN" sz="1800" b="1" strike="noStrike" spc="-1" baseline="0">
                <a:solidFill>
                  <a:srgbClr val="000000"/>
                </a:solidFill>
                <a:latin typeface="Calibri"/>
              </a:rPr>
              <a:t> </a:t>
            </a: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Value per Share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Output!$F$8</c:f>
              <c:strCache>
                <c:ptCount val="1"/>
                <c:pt idx="0">
                  <c:v>Base (helper)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Output!$A$9:$A$12</c:f>
              <c:strCache>
                <c:ptCount val="4"/>
                <c:pt idx="0">
                  <c:v>DCF (Sensitivity Range)</c:v>
                </c:pt>
                <c:pt idx="1">
                  <c:v>P/E Comps (±5% of point estimate)</c:v>
                </c:pt>
                <c:pt idx="2">
                  <c:v>EV/EBITDA Comps (±5%)</c:v>
                </c:pt>
                <c:pt idx="3">
                  <c:v>Current Market Price</c:v>
                </c:pt>
              </c:strCache>
            </c:strRef>
          </c:cat>
          <c:val>
            <c:numRef>
              <c:f>Output!$F$9:$F$12</c:f>
              <c:numCache>
                <c:formatCode>\₹#,##0.00</c:formatCode>
                <c:ptCount val="4"/>
                <c:pt idx="0">
                  <c:v>863.30868315388454</c:v>
                </c:pt>
                <c:pt idx="1">
                  <c:v>1319.242811469351</c:v>
                </c:pt>
                <c:pt idx="2">
                  <c:v>1311.9506042469136</c:v>
                </c:pt>
                <c:pt idx="3">
                  <c:v>1183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F-47CC-8446-C73128C107D5}"/>
            </c:ext>
          </c:extLst>
        </c:ser>
        <c:ser>
          <c:idx val="1"/>
          <c:order val="1"/>
          <c:tx>
            <c:strRef>
              <c:f>Output!$G$8</c:f>
              <c:strCache>
                <c:ptCount val="1"/>
                <c:pt idx="0">
                  <c:v>Spread (helper)</c:v>
                </c:pt>
              </c:strCache>
            </c:strRef>
          </c:tx>
          <c:spPr>
            <a:solidFill>
              <a:srgbClr val="1D4ED8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Output!$A$9:$A$12</c:f>
              <c:strCache>
                <c:ptCount val="4"/>
                <c:pt idx="0">
                  <c:v>DCF (Sensitivity Range)</c:v>
                </c:pt>
                <c:pt idx="1">
                  <c:v>P/E Comps (±5% of point estimate)</c:v>
                </c:pt>
                <c:pt idx="2">
                  <c:v>EV/EBITDA Comps (±5%)</c:v>
                </c:pt>
                <c:pt idx="3">
                  <c:v>Current Market Price</c:v>
                </c:pt>
              </c:strCache>
            </c:strRef>
          </c:cat>
          <c:val>
            <c:numRef>
              <c:f>Output!$G$9:$G$12</c:f>
              <c:numCache>
                <c:formatCode>\₹#,##0.00</c:formatCode>
                <c:ptCount val="4"/>
                <c:pt idx="0">
                  <c:v>396.4241827551981</c:v>
                </c:pt>
                <c:pt idx="1">
                  <c:v>138.86766436519474</c:v>
                </c:pt>
                <c:pt idx="2">
                  <c:v>138.10006360493844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3F-47CC-8446-C73128C10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121211"/>
        <c:axId val="86507752"/>
      </c:barChart>
      <c:catAx>
        <c:axId val="6812121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₹ per share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507752"/>
        <c:crosses val="autoZero"/>
        <c:auto val="1"/>
        <c:lblAlgn val="ctr"/>
        <c:lblOffset val="100"/>
        <c:noMultiLvlLbl val="0"/>
      </c:catAx>
      <c:valAx>
        <c:axId val="865077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₹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1212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15</xdr:row>
      <xdr:rowOff>2170</xdr:rowOff>
    </xdr:from>
    <xdr:to>
      <xdr:col>4</xdr:col>
      <xdr:colOff>828986</xdr:colOff>
      <xdr:row>30</xdr:row>
      <xdr:rowOff>24130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CFF32-88BF-48A6-9F63-3832A0441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C4D0-79A0-489D-ABA8-10E7FBB052AC}">
  <dimension ref="A1:F41"/>
  <sheetViews>
    <sheetView showGridLines="0" topLeftCell="A27" zoomScale="106" zoomScaleNormal="100" workbookViewId="0">
      <selection activeCell="B33" sqref="B33"/>
    </sheetView>
  </sheetViews>
  <sheetFormatPr defaultColWidth="8.6328125" defaultRowHeight="14.5" x14ac:dyDescent="0.35"/>
  <cols>
    <col min="1" max="1" width="49.90625" style="1" customWidth="1"/>
    <col min="2" max="2" width="17.81640625" style="1" customWidth="1"/>
    <col min="3" max="3" width="18.453125" style="1" customWidth="1"/>
    <col min="4" max="4" width="15.81640625" style="1" customWidth="1"/>
    <col min="5" max="5" width="17.26953125" style="1" customWidth="1"/>
    <col min="6" max="6" width="18.6328125" style="1" customWidth="1"/>
    <col min="7" max="16384" width="8.6328125" style="1"/>
  </cols>
  <sheetData>
    <row r="1" spans="1:6" ht="18" x14ac:dyDescent="0.4">
      <c r="A1" s="15" t="s">
        <v>73</v>
      </c>
    </row>
    <row r="3" spans="1:6" ht="18" customHeight="1" x14ac:dyDescent="0.35">
      <c r="A3" s="2" t="s">
        <v>24</v>
      </c>
      <c r="B3" s="3"/>
      <c r="C3" s="3"/>
      <c r="D3" s="3"/>
      <c r="E3" s="3"/>
      <c r="F3" s="3"/>
    </row>
    <row r="4" spans="1:6" x14ac:dyDescent="0.35">
      <c r="A4" s="7" t="s">
        <v>25</v>
      </c>
      <c r="B4" s="18">
        <v>1183</v>
      </c>
      <c r="C4" s="65" t="s">
        <v>63</v>
      </c>
      <c r="D4" s="67"/>
      <c r="E4" s="67"/>
      <c r="F4" s="67"/>
    </row>
    <row r="5" spans="1:6" x14ac:dyDescent="0.35">
      <c r="A5" s="7" t="s">
        <v>26</v>
      </c>
      <c r="B5" s="19">
        <v>405</v>
      </c>
      <c r="C5" s="67" t="s">
        <v>27</v>
      </c>
      <c r="D5" s="67"/>
      <c r="E5" s="67"/>
      <c r="F5" s="67"/>
    </row>
    <row r="6" spans="1:6" x14ac:dyDescent="0.35">
      <c r="A6" s="7" t="s">
        <v>28</v>
      </c>
      <c r="B6" s="9" t="s">
        <v>29</v>
      </c>
    </row>
    <row r="8" spans="1:6" ht="18" customHeight="1" x14ac:dyDescent="0.35">
      <c r="A8" s="2" t="s">
        <v>30</v>
      </c>
      <c r="B8" s="3"/>
      <c r="C8" s="3"/>
      <c r="D8" s="3"/>
      <c r="E8" s="3"/>
      <c r="F8" s="3"/>
    </row>
    <row r="9" spans="1:6" x14ac:dyDescent="0.35">
      <c r="A9" s="7" t="s">
        <v>31</v>
      </c>
      <c r="B9" s="20">
        <v>2</v>
      </c>
    </row>
    <row r="10" spans="1:6" x14ac:dyDescent="0.35">
      <c r="A10" s="7" t="s">
        <v>32</v>
      </c>
      <c r="B10" s="8">
        <f>CHOOSE(B9,2,0,-2)/100</f>
        <v>0</v>
      </c>
    </row>
    <row r="12" spans="1:6" ht="18" customHeight="1" x14ac:dyDescent="0.35">
      <c r="A12" s="2" t="s">
        <v>144</v>
      </c>
      <c r="B12" s="3"/>
      <c r="C12" s="3"/>
      <c r="D12" s="3"/>
      <c r="E12" s="3"/>
      <c r="F12" s="3"/>
    </row>
    <row r="13" spans="1:6" x14ac:dyDescent="0.35">
      <c r="A13" s="4" t="s">
        <v>33</v>
      </c>
      <c r="B13" s="5" t="s">
        <v>34</v>
      </c>
      <c r="C13" s="5" t="s">
        <v>35</v>
      </c>
      <c r="D13" s="5" t="s">
        <v>36</v>
      </c>
      <c r="E13" s="5" t="s">
        <v>37</v>
      </c>
      <c r="F13" s="5" t="s">
        <v>38</v>
      </c>
    </row>
    <row r="14" spans="1:6" x14ac:dyDescent="0.35">
      <c r="A14" s="7" t="s">
        <v>39</v>
      </c>
      <c r="B14" s="11">
        <v>0.1</v>
      </c>
      <c r="C14" s="11">
        <v>0.09</v>
      </c>
      <c r="D14" s="11">
        <v>0.08</v>
      </c>
      <c r="E14" s="11">
        <v>7.0000000000000007E-2</v>
      </c>
      <c r="F14" s="11">
        <v>0.06</v>
      </c>
    </row>
    <row r="15" spans="1:6" x14ac:dyDescent="0.35">
      <c r="A15" s="67" t="s">
        <v>112</v>
      </c>
      <c r="B15" s="67"/>
      <c r="C15" s="67"/>
      <c r="D15" s="67"/>
      <c r="E15" s="67"/>
      <c r="F15" s="67"/>
    </row>
    <row r="16" spans="1:6" x14ac:dyDescent="0.35">
      <c r="A16" s="4" t="s">
        <v>40</v>
      </c>
      <c r="B16" s="8">
        <f>B14+$B$10</f>
        <v>0.1</v>
      </c>
      <c r="C16" s="8">
        <f>C14+$B$10</f>
        <v>0.09</v>
      </c>
      <c r="D16" s="8">
        <f>D14+$B$10</f>
        <v>0.08</v>
      </c>
      <c r="E16" s="8">
        <f>E14+$B$10</f>
        <v>7.0000000000000007E-2</v>
      </c>
      <c r="F16" s="8">
        <f>F14+$B$10</f>
        <v>0.06</v>
      </c>
    </row>
    <row r="18" spans="1:6" ht="18" customHeight="1" x14ac:dyDescent="0.35">
      <c r="A18" s="2" t="s">
        <v>41</v>
      </c>
      <c r="B18" s="3"/>
      <c r="C18" s="3"/>
      <c r="D18" s="3"/>
      <c r="E18" s="3"/>
      <c r="F18" s="3"/>
    </row>
    <row r="19" spans="1:6" x14ac:dyDescent="0.35">
      <c r="A19" s="4" t="s">
        <v>33</v>
      </c>
      <c r="B19" s="5" t="s">
        <v>34</v>
      </c>
      <c r="C19" s="5" t="s">
        <v>35</v>
      </c>
      <c r="D19" s="5" t="s">
        <v>36</v>
      </c>
      <c r="E19" s="5" t="s">
        <v>37</v>
      </c>
      <c r="F19" s="5" t="s">
        <v>38</v>
      </c>
    </row>
    <row r="20" spans="1:6" x14ac:dyDescent="0.35">
      <c r="A20" s="7" t="s">
        <v>10</v>
      </c>
      <c r="B20" s="11">
        <v>0.23799999999999999</v>
      </c>
      <c r="C20" s="11">
        <v>0.24</v>
      </c>
      <c r="D20" s="11">
        <v>0.24199999999999999</v>
      </c>
      <c r="E20" s="11">
        <v>0.24399999999999999</v>
      </c>
      <c r="F20" s="11">
        <v>0.245</v>
      </c>
    </row>
    <row r="21" spans="1:6" x14ac:dyDescent="0.35">
      <c r="A21" s="67" t="s">
        <v>51</v>
      </c>
      <c r="B21" s="67"/>
      <c r="C21" s="67"/>
      <c r="D21" s="67"/>
      <c r="E21" s="67"/>
    </row>
    <row r="22" spans="1:6" x14ac:dyDescent="0.35">
      <c r="A22" s="7" t="s">
        <v>42</v>
      </c>
      <c r="B22" s="11">
        <v>0.26</v>
      </c>
      <c r="C22" s="67" t="s">
        <v>52</v>
      </c>
      <c r="D22" s="67"/>
      <c r="E22" s="67"/>
    </row>
    <row r="23" spans="1:6" x14ac:dyDescent="0.35">
      <c r="A23" s="7" t="s">
        <v>43</v>
      </c>
      <c r="B23" s="11">
        <v>2.8000000000000001E-2</v>
      </c>
      <c r="C23" s="67" t="s">
        <v>53</v>
      </c>
      <c r="D23" s="67"/>
      <c r="E23" s="67"/>
    </row>
    <row r="24" spans="1:6" x14ac:dyDescent="0.35">
      <c r="A24" s="7" t="s">
        <v>21</v>
      </c>
      <c r="B24" s="11">
        <v>1.4999999999999999E-2</v>
      </c>
      <c r="C24" s="67" t="s">
        <v>44</v>
      </c>
      <c r="D24" s="67"/>
      <c r="E24" s="67"/>
    </row>
    <row r="25" spans="1:6" x14ac:dyDescent="0.35">
      <c r="A25" s="7" t="s">
        <v>45</v>
      </c>
      <c r="B25" s="12">
        <v>33</v>
      </c>
      <c r="C25" s="67" t="s">
        <v>54</v>
      </c>
      <c r="D25" s="67"/>
      <c r="E25" s="67"/>
    </row>
    <row r="27" spans="1:6" ht="18" customHeight="1" x14ac:dyDescent="0.35">
      <c r="A27" s="2" t="s">
        <v>46</v>
      </c>
      <c r="B27" s="3"/>
      <c r="C27" s="3"/>
      <c r="D27" s="3"/>
      <c r="E27" s="3"/>
      <c r="F27" s="3"/>
    </row>
    <row r="28" spans="1:6" x14ac:dyDescent="0.35">
      <c r="A28" s="7" t="s">
        <v>47</v>
      </c>
      <c r="B28" s="11">
        <v>6.7599999999999993E-2</v>
      </c>
      <c r="C28" s="67" t="s">
        <v>113</v>
      </c>
      <c r="D28" s="67"/>
      <c r="E28" s="67"/>
    </row>
    <row r="29" spans="1:6" x14ac:dyDescent="0.35">
      <c r="A29" s="7" t="s">
        <v>48</v>
      </c>
      <c r="B29" s="11">
        <v>7.2999999999999995E-2</v>
      </c>
      <c r="C29" s="67" t="s">
        <v>114</v>
      </c>
      <c r="D29" s="67"/>
      <c r="E29" s="67"/>
      <c r="F29" s="67"/>
    </row>
    <row r="30" spans="1:6" x14ac:dyDescent="0.35">
      <c r="A30" s="7" t="s">
        <v>120</v>
      </c>
      <c r="B30" s="21">
        <f>'Beta Calc'!B3</f>
        <v>0.9054367984998094</v>
      </c>
    </row>
    <row r="31" spans="1:6" x14ac:dyDescent="0.35">
      <c r="A31" s="4" t="s">
        <v>121</v>
      </c>
      <c r="B31" s="8">
        <f>B28+B30*B29</f>
        <v>0.13369688629048609</v>
      </c>
    </row>
    <row r="32" spans="1:6" x14ac:dyDescent="0.35">
      <c r="A32" s="7" t="s">
        <v>122</v>
      </c>
      <c r="B32" s="22">
        <f>Historicals!G32</f>
        <v>4.7807849221398607E-2</v>
      </c>
    </row>
    <row r="33" spans="1:6" x14ac:dyDescent="0.35">
      <c r="A33" s="4" t="s">
        <v>123</v>
      </c>
      <c r="B33" s="8">
        <f>B32*(1-B22)</f>
        <v>3.5377808423834971E-2</v>
      </c>
    </row>
    <row r="34" spans="1:6" x14ac:dyDescent="0.35">
      <c r="A34" s="7" t="s">
        <v>125</v>
      </c>
      <c r="B34" s="10">
        <f>B4*B5</f>
        <v>479115</v>
      </c>
    </row>
    <row r="35" spans="1:6" x14ac:dyDescent="0.35">
      <c r="A35" s="7" t="s">
        <v>126</v>
      </c>
      <c r="B35" s="23">
        <f>Historicals!G16</f>
        <v>9176</v>
      </c>
    </row>
    <row r="36" spans="1:6" x14ac:dyDescent="0.35">
      <c r="A36" s="7" t="s">
        <v>124</v>
      </c>
      <c r="B36" s="8">
        <f>B34/(B34+B35)</f>
        <v>0.98120792724010886</v>
      </c>
    </row>
    <row r="37" spans="1:6" x14ac:dyDescent="0.35">
      <c r="A37" s="7" t="s">
        <v>127</v>
      </c>
      <c r="B37" s="8">
        <f>B35/(B34+B35)</f>
        <v>1.8792072759891129E-2</v>
      </c>
    </row>
    <row r="38" spans="1:6" x14ac:dyDescent="0.35">
      <c r="A38" s="4" t="s">
        <v>101</v>
      </c>
      <c r="B38" s="64">
        <f>B31*B36+B33*B37</f>
        <v>0.13184926702553057</v>
      </c>
    </row>
    <row r="40" spans="1:6" ht="18" customHeight="1" x14ac:dyDescent="0.35">
      <c r="A40" s="2" t="s">
        <v>49</v>
      </c>
      <c r="B40" s="3"/>
      <c r="C40" s="3"/>
      <c r="D40" s="3"/>
      <c r="E40" s="3"/>
      <c r="F40" s="3"/>
    </row>
    <row r="41" spans="1:6" x14ac:dyDescent="0.35">
      <c r="A41" s="7" t="s">
        <v>50</v>
      </c>
      <c r="B41" s="24">
        <v>0.04</v>
      </c>
      <c r="C41" s="66" t="s">
        <v>61</v>
      </c>
      <c r="D41" s="66"/>
      <c r="E41" s="66"/>
      <c r="F41" s="66"/>
    </row>
  </sheetData>
  <mergeCells count="11">
    <mergeCell ref="C4:F4"/>
    <mergeCell ref="C5:F5"/>
    <mergeCell ref="A21:E21"/>
    <mergeCell ref="C22:E22"/>
    <mergeCell ref="C23:E23"/>
    <mergeCell ref="C41:F41"/>
    <mergeCell ref="C24:E24"/>
    <mergeCell ref="C25:E25"/>
    <mergeCell ref="C28:E28"/>
    <mergeCell ref="A15:F15"/>
    <mergeCell ref="C29:F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ABED-C4F9-4C02-9B09-3DB082E229B3}">
  <dimension ref="A1:G32"/>
  <sheetViews>
    <sheetView showGridLines="0" topLeftCell="A15" zoomScaleNormal="100" workbookViewId="0">
      <selection activeCell="G32" sqref="G32"/>
    </sheetView>
  </sheetViews>
  <sheetFormatPr defaultColWidth="8.6328125" defaultRowHeight="14.5" x14ac:dyDescent="0.35"/>
  <cols>
    <col min="1" max="1" width="34" style="1" customWidth="1"/>
    <col min="2" max="7" width="12" style="1" customWidth="1"/>
    <col min="8" max="16384" width="8.6328125" style="1"/>
  </cols>
  <sheetData>
    <row r="1" spans="1:7" ht="18" x14ac:dyDescent="0.4">
      <c r="A1" s="15" t="s">
        <v>145</v>
      </c>
    </row>
    <row r="3" spans="1:7" ht="18" customHeight="1" x14ac:dyDescent="0.35">
      <c r="A3" s="2" t="s">
        <v>0</v>
      </c>
      <c r="B3" s="3"/>
      <c r="C3" s="3"/>
      <c r="D3" s="3"/>
      <c r="E3" s="3"/>
      <c r="F3" s="3"/>
      <c r="G3" s="3"/>
    </row>
    <row r="4" spans="1:7" x14ac:dyDescent="0.3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</row>
    <row r="5" spans="1:7" x14ac:dyDescent="0.35">
      <c r="A5" s="4" t="s">
        <v>8</v>
      </c>
      <c r="B5" s="6">
        <v>100472</v>
      </c>
      <c r="C5" s="6">
        <v>121641</v>
      </c>
      <c r="D5" s="6">
        <v>146767</v>
      </c>
      <c r="E5" s="6">
        <v>153670</v>
      </c>
      <c r="F5" s="6">
        <v>162990</v>
      </c>
      <c r="G5" s="6">
        <v>178650</v>
      </c>
    </row>
    <row r="6" spans="1:7" x14ac:dyDescent="0.35">
      <c r="A6" s="7" t="s">
        <v>9</v>
      </c>
      <c r="C6" s="8">
        <f>C5/B5-1</f>
        <v>0.21069551715900947</v>
      </c>
      <c r="D6" s="8">
        <f>D5/C5-1</f>
        <v>0.20655864387829759</v>
      </c>
      <c r="E6" s="8">
        <f>E5/D5-1</f>
        <v>4.7033733741236095E-2</v>
      </c>
      <c r="F6" s="8">
        <f>F5/E5-1</f>
        <v>6.0649443612936782E-2</v>
      </c>
      <c r="G6" s="8">
        <f>G5/F5-1</f>
        <v>9.6079514080618544E-2</v>
      </c>
    </row>
    <row r="7" spans="1:7" x14ac:dyDescent="0.35">
      <c r="A7" s="4" t="s">
        <v>66</v>
      </c>
      <c r="B7" s="6">
        <v>27889</v>
      </c>
      <c r="C7" s="6">
        <v>31491</v>
      </c>
      <c r="D7" s="6">
        <v>35130</v>
      </c>
      <c r="E7" s="6">
        <v>36425</v>
      </c>
      <c r="F7" s="6">
        <v>39236</v>
      </c>
      <c r="G7" s="6">
        <v>42280</v>
      </c>
    </row>
    <row r="8" spans="1:7" x14ac:dyDescent="0.35">
      <c r="A8" s="7" t="s">
        <v>10</v>
      </c>
      <c r="B8" s="8">
        <f t="shared" ref="B8:G8" si="0">B7/B5</f>
        <v>0.27757982323433394</v>
      </c>
      <c r="C8" s="8">
        <f t="shared" si="0"/>
        <v>0.25888475102966929</v>
      </c>
      <c r="D8" s="8">
        <f t="shared" si="0"/>
        <v>0.23935898396778568</v>
      </c>
      <c r="E8" s="8">
        <f t="shared" si="0"/>
        <v>0.23703390381987374</v>
      </c>
      <c r="F8" s="8">
        <f t="shared" si="0"/>
        <v>0.24072642493404503</v>
      </c>
      <c r="G8" s="8">
        <f t="shared" si="0"/>
        <v>0.23666386789812482</v>
      </c>
    </row>
    <row r="9" spans="1:7" x14ac:dyDescent="0.35">
      <c r="A9" s="9" t="s">
        <v>11</v>
      </c>
      <c r="B9" s="6">
        <v>3267</v>
      </c>
      <c r="C9" s="6">
        <v>3476</v>
      </c>
      <c r="D9" s="6">
        <v>4225</v>
      </c>
      <c r="E9" s="6">
        <v>4678</v>
      </c>
      <c r="F9" s="6">
        <v>4812</v>
      </c>
      <c r="G9" s="6">
        <v>4902</v>
      </c>
    </row>
    <row r="10" spans="1:7" x14ac:dyDescent="0.35">
      <c r="A10" s="7" t="s">
        <v>12</v>
      </c>
      <c r="B10" s="10">
        <f t="shared" ref="B10:G10" si="1">B7-B9</f>
        <v>24622</v>
      </c>
      <c r="C10" s="10">
        <f t="shared" si="1"/>
        <v>28015</v>
      </c>
      <c r="D10" s="10">
        <f t="shared" si="1"/>
        <v>30905</v>
      </c>
      <c r="E10" s="10">
        <f t="shared" si="1"/>
        <v>31747</v>
      </c>
      <c r="F10" s="10">
        <f t="shared" si="1"/>
        <v>34424</v>
      </c>
      <c r="G10" s="10">
        <f t="shared" si="1"/>
        <v>37378</v>
      </c>
    </row>
    <row r="11" spans="1:7" x14ac:dyDescent="0.35">
      <c r="A11" s="9" t="s">
        <v>13</v>
      </c>
      <c r="B11" s="6">
        <v>19423</v>
      </c>
      <c r="C11" s="6">
        <v>22146</v>
      </c>
      <c r="D11" s="6">
        <v>24108</v>
      </c>
      <c r="E11" s="6">
        <v>26248</v>
      </c>
      <c r="F11" s="6">
        <v>26750</v>
      </c>
      <c r="G11" s="6">
        <v>29474</v>
      </c>
    </row>
    <row r="12" spans="1:7" x14ac:dyDescent="0.35">
      <c r="A12" s="9" t="s">
        <v>14</v>
      </c>
      <c r="B12" s="11">
        <v>0.27</v>
      </c>
      <c r="C12" s="11">
        <v>0.26</v>
      </c>
      <c r="D12" s="11">
        <v>0.28000000000000003</v>
      </c>
      <c r="E12" s="11">
        <v>0.27</v>
      </c>
      <c r="F12" s="11">
        <v>0.28999999999999998</v>
      </c>
      <c r="G12" s="11">
        <v>0.26</v>
      </c>
    </row>
    <row r="14" spans="1:7" ht="18" customHeight="1" x14ac:dyDescent="0.35">
      <c r="A14" s="2" t="s">
        <v>15</v>
      </c>
      <c r="B14" s="3"/>
      <c r="C14" s="3"/>
      <c r="D14" s="3"/>
      <c r="E14" s="3"/>
      <c r="F14" s="3"/>
      <c r="G14" s="3"/>
    </row>
    <row r="15" spans="1:7" x14ac:dyDescent="0.35">
      <c r="A15" s="4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</row>
    <row r="16" spans="1:7" x14ac:dyDescent="0.35">
      <c r="A16" s="9" t="s">
        <v>16</v>
      </c>
      <c r="B16" s="6">
        <v>5325</v>
      </c>
      <c r="C16" s="6">
        <v>5474</v>
      </c>
      <c r="D16" s="6">
        <v>8299</v>
      </c>
      <c r="E16" s="6">
        <v>8359</v>
      </c>
      <c r="F16" s="6">
        <v>8227</v>
      </c>
      <c r="G16" s="6">
        <v>9176</v>
      </c>
    </row>
    <row r="17" spans="1:7" x14ac:dyDescent="0.35">
      <c r="A17" s="9" t="s">
        <v>17</v>
      </c>
      <c r="B17" s="6"/>
      <c r="C17" s="6">
        <v>17472</v>
      </c>
      <c r="D17" s="6">
        <v>12173</v>
      </c>
      <c r="E17" s="6">
        <v>14786</v>
      </c>
      <c r="F17" s="6">
        <v>24455</v>
      </c>
      <c r="G17" s="6">
        <v>22201</v>
      </c>
    </row>
    <row r="18" spans="1:7" x14ac:dyDescent="0.35">
      <c r="A18" s="7" t="s">
        <v>118</v>
      </c>
      <c r="B18" s="16"/>
      <c r="C18" s="10">
        <f>C16-C17</f>
        <v>-11998</v>
      </c>
      <c r="D18" s="10">
        <f>D16-D17</f>
        <v>-3874</v>
      </c>
      <c r="E18" s="10">
        <f>E16-E17</f>
        <v>-6427</v>
      </c>
      <c r="F18" s="10">
        <f>F16-F17</f>
        <v>-16228</v>
      </c>
      <c r="G18" s="10">
        <f>G16-G17</f>
        <v>-13025</v>
      </c>
    </row>
    <row r="20" spans="1:7" x14ac:dyDescent="0.35">
      <c r="A20" s="9" t="s">
        <v>18</v>
      </c>
      <c r="B20" s="12">
        <v>36</v>
      </c>
      <c r="C20" s="12">
        <v>28</v>
      </c>
      <c r="D20" s="12">
        <v>31</v>
      </c>
      <c r="E20" s="12">
        <v>54</v>
      </c>
      <c r="F20" s="12">
        <v>39</v>
      </c>
      <c r="G20" s="12">
        <v>33</v>
      </c>
    </row>
    <row r="21" spans="1:7" x14ac:dyDescent="0.35">
      <c r="A21" s="7" t="s">
        <v>146</v>
      </c>
      <c r="B21" s="10">
        <f t="shared" ref="B21:G21" si="2">B5*B20/365</f>
        <v>9909.5671232876721</v>
      </c>
      <c r="C21" s="10">
        <f t="shared" si="2"/>
        <v>9331.364383561644</v>
      </c>
      <c r="D21" s="10">
        <f t="shared" si="2"/>
        <v>12465.142465753424</v>
      </c>
      <c r="E21" s="10">
        <f t="shared" si="2"/>
        <v>22734.739726027397</v>
      </c>
      <c r="F21" s="10">
        <f t="shared" si="2"/>
        <v>17415.369863013697</v>
      </c>
      <c r="G21" s="10">
        <f t="shared" si="2"/>
        <v>16151.917808219177</v>
      </c>
    </row>
    <row r="23" spans="1:7" ht="18" customHeight="1" x14ac:dyDescent="0.35">
      <c r="A23" s="2" t="s">
        <v>19</v>
      </c>
      <c r="B23" s="3"/>
      <c r="C23" s="3"/>
      <c r="D23" s="3"/>
      <c r="E23" s="3"/>
      <c r="F23" s="3"/>
      <c r="G23" s="3"/>
    </row>
    <row r="24" spans="1:7" x14ac:dyDescent="0.35">
      <c r="A24" s="4" t="s">
        <v>1</v>
      </c>
      <c r="B24" s="5" t="s">
        <v>2</v>
      </c>
      <c r="C24" s="5" t="s">
        <v>3</v>
      </c>
      <c r="D24" s="5" t="s">
        <v>4</v>
      </c>
      <c r="E24" s="5" t="s">
        <v>5</v>
      </c>
      <c r="F24" s="5" t="s">
        <v>6</v>
      </c>
      <c r="G24" s="5" t="s">
        <v>7</v>
      </c>
    </row>
    <row r="25" spans="1:7" x14ac:dyDescent="0.35">
      <c r="A25" s="9" t="s">
        <v>20</v>
      </c>
      <c r="B25" s="6">
        <v>23224</v>
      </c>
      <c r="C25" s="6">
        <v>23885</v>
      </c>
      <c r="D25" s="6">
        <v>22467</v>
      </c>
      <c r="E25" s="6">
        <v>25210</v>
      </c>
      <c r="F25" s="6">
        <v>35694</v>
      </c>
      <c r="G25" s="6">
        <v>33986</v>
      </c>
    </row>
    <row r="26" spans="1:7" x14ac:dyDescent="0.35">
      <c r="A26" s="9" t="s">
        <v>117</v>
      </c>
      <c r="B26" s="6">
        <v>21117</v>
      </c>
      <c r="C26" s="6">
        <v>21724</v>
      </c>
      <c r="D26" s="6">
        <v>19888</v>
      </c>
      <c r="E26" s="6">
        <v>23009</v>
      </c>
      <c r="F26" s="6">
        <v>33457</v>
      </c>
      <c r="G26" s="6">
        <v>31259</v>
      </c>
    </row>
    <row r="27" spans="1:7" x14ac:dyDescent="0.35">
      <c r="A27" s="7" t="s">
        <v>119</v>
      </c>
      <c r="B27" s="10">
        <f t="shared" ref="B27:G27" si="3">B25-B26</f>
        <v>2107</v>
      </c>
      <c r="C27" s="10">
        <f t="shared" si="3"/>
        <v>2161</v>
      </c>
      <c r="D27" s="10">
        <f t="shared" si="3"/>
        <v>2579</v>
      </c>
      <c r="E27" s="10">
        <f t="shared" si="3"/>
        <v>2201</v>
      </c>
      <c r="F27" s="10">
        <f t="shared" si="3"/>
        <v>2237</v>
      </c>
      <c r="G27" s="10">
        <f t="shared" si="3"/>
        <v>2727</v>
      </c>
    </row>
    <row r="28" spans="1:7" x14ac:dyDescent="0.35">
      <c r="A28" s="7" t="s">
        <v>21</v>
      </c>
      <c r="B28" s="8">
        <f t="shared" ref="B28:G28" si="4">B27/B5</f>
        <v>2.0971016800700692E-2</v>
      </c>
      <c r="C28" s="8">
        <f t="shared" si="4"/>
        <v>1.7765391603160118E-2</v>
      </c>
      <c r="D28" s="8">
        <f t="shared" si="4"/>
        <v>1.7572070015739231E-2</v>
      </c>
      <c r="E28" s="8">
        <f t="shared" si="4"/>
        <v>1.4322899720179605E-2</v>
      </c>
      <c r="F28" s="8">
        <f t="shared" si="4"/>
        <v>1.3724768390698815E-2</v>
      </c>
      <c r="G28" s="8">
        <f t="shared" si="4"/>
        <v>1.5264483627204031E-2</v>
      </c>
    </row>
    <row r="30" spans="1:7" x14ac:dyDescent="0.35">
      <c r="A30" s="7" t="s">
        <v>22</v>
      </c>
      <c r="B30" s="7"/>
      <c r="C30" s="7"/>
      <c r="D30" s="7"/>
      <c r="E30" s="7"/>
      <c r="G30" s="6">
        <v>416</v>
      </c>
    </row>
    <row r="31" spans="1:7" x14ac:dyDescent="0.35">
      <c r="A31" s="16" t="s">
        <v>23</v>
      </c>
      <c r="G31" s="10">
        <f>(F16+G16)/2</f>
        <v>8701.5</v>
      </c>
    </row>
    <row r="32" spans="1:7" x14ac:dyDescent="0.35">
      <c r="A32" s="13" t="s">
        <v>122</v>
      </c>
      <c r="G32" s="14">
        <f>G30/G31</f>
        <v>4.7807849221398607E-2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330E-5DA6-4AF3-893C-BA39E23039D5}">
  <dimension ref="A1:E267"/>
  <sheetViews>
    <sheetView showGridLines="0" zoomScaleNormal="100" workbookViewId="0">
      <selection activeCell="B3" sqref="B3"/>
    </sheetView>
  </sheetViews>
  <sheetFormatPr defaultColWidth="8.6328125" defaultRowHeight="14.5" x14ac:dyDescent="0.35"/>
  <cols>
    <col min="1" max="1" width="21.81640625" style="1" customWidth="1"/>
    <col min="2" max="2" width="16.08984375" style="1" customWidth="1"/>
    <col min="3" max="3" width="14" style="1" customWidth="1"/>
    <col min="4" max="4" width="25.6328125" style="1" customWidth="1"/>
    <col min="5" max="5" width="30.7265625" style="1" customWidth="1"/>
    <col min="6" max="16384" width="8.6328125" style="1"/>
  </cols>
  <sheetData>
    <row r="1" spans="1:5" ht="18" x14ac:dyDescent="0.4">
      <c r="A1" s="17" t="s">
        <v>62</v>
      </c>
    </row>
    <row r="3" spans="1:5" x14ac:dyDescent="0.35">
      <c r="A3" s="4" t="s">
        <v>55</v>
      </c>
      <c r="B3" s="25">
        <f>SLOPE(D7:D266,E7:E266)</f>
        <v>0.9054367984998094</v>
      </c>
    </row>
    <row r="5" spans="1:5" x14ac:dyDescent="0.35">
      <c r="A5" s="5" t="s">
        <v>56</v>
      </c>
      <c r="B5" s="5" t="s">
        <v>57</v>
      </c>
      <c r="C5" s="5" t="s">
        <v>58</v>
      </c>
      <c r="D5" s="5" t="s">
        <v>59</v>
      </c>
      <c r="E5" s="5" t="s">
        <v>60</v>
      </c>
    </row>
    <row r="6" spans="1:5" x14ac:dyDescent="0.35">
      <c r="A6" s="26">
        <v>46243</v>
      </c>
      <c r="B6" s="6">
        <v>1182</v>
      </c>
      <c r="C6" s="6">
        <v>24583.8</v>
      </c>
    </row>
    <row r="7" spans="1:5" x14ac:dyDescent="0.35">
      <c r="A7" s="26">
        <v>46236</v>
      </c>
      <c r="B7" s="6">
        <v>1175.0999999999999</v>
      </c>
      <c r="C7" s="6">
        <v>24570.65</v>
      </c>
      <c r="D7" s="8">
        <f t="shared" ref="D7:E38" si="0">B7/B6-1</f>
        <v>-5.8375634517767727E-3</v>
      </c>
      <c r="E7" s="8">
        <f t="shared" si="0"/>
        <v>-5.3490510010645309E-4</v>
      </c>
    </row>
    <row r="8" spans="1:5" x14ac:dyDescent="0.35">
      <c r="A8" s="26">
        <v>46229</v>
      </c>
      <c r="B8" s="6">
        <v>1130.0999999999999</v>
      </c>
      <c r="C8" s="6">
        <v>24383.599999999999</v>
      </c>
      <c r="D8" s="8">
        <f t="shared" si="0"/>
        <v>-3.8294613224406415E-2</v>
      </c>
      <c r="E8" s="8">
        <f t="shared" si="0"/>
        <v>-7.6127412176724141E-3</v>
      </c>
    </row>
    <row r="9" spans="1:5" x14ac:dyDescent="0.35">
      <c r="A9" s="26">
        <v>46222</v>
      </c>
      <c r="B9" s="6">
        <v>1040.9000000000001</v>
      </c>
      <c r="C9" s="6">
        <v>23767.45</v>
      </c>
      <c r="D9" s="8">
        <f t="shared" si="0"/>
        <v>-7.8931068047075281E-2</v>
      </c>
      <c r="E9" s="8">
        <f t="shared" si="0"/>
        <v>-2.5269033284666675E-2</v>
      </c>
    </row>
    <row r="10" spans="1:5" x14ac:dyDescent="0.35">
      <c r="A10" s="26">
        <v>46215</v>
      </c>
      <c r="B10" s="6">
        <v>1096.5</v>
      </c>
      <c r="C10" s="6">
        <v>24334.3</v>
      </c>
      <c r="D10" s="8">
        <f t="shared" si="0"/>
        <v>5.3415313670861719E-2</v>
      </c>
      <c r="E10" s="8">
        <f t="shared" si="0"/>
        <v>2.3849845061207686E-2</v>
      </c>
    </row>
    <row r="11" spans="1:5" x14ac:dyDescent="0.35">
      <c r="A11" s="26">
        <v>46208</v>
      </c>
      <c r="B11" s="6">
        <v>1068</v>
      </c>
      <c r="C11" s="6">
        <v>24206.9</v>
      </c>
      <c r="D11" s="8">
        <f t="shared" si="0"/>
        <v>-2.5991792065663488E-2</v>
      </c>
      <c r="E11" s="8">
        <f t="shared" si="0"/>
        <v>-5.2354084563762671E-3</v>
      </c>
    </row>
    <row r="12" spans="1:5" x14ac:dyDescent="0.35">
      <c r="A12" s="26">
        <v>46201</v>
      </c>
      <c r="B12" s="6">
        <v>1047.2</v>
      </c>
      <c r="C12" s="6">
        <v>24270.85</v>
      </c>
      <c r="D12" s="8">
        <f t="shared" si="0"/>
        <v>-1.9475655430711614E-2</v>
      </c>
      <c r="E12" s="8">
        <f t="shared" si="0"/>
        <v>2.6418087404829205E-3</v>
      </c>
    </row>
    <row r="13" spans="1:5" x14ac:dyDescent="0.35">
      <c r="A13" s="26">
        <v>46194</v>
      </c>
      <c r="B13" s="6">
        <v>1041.2</v>
      </c>
      <c r="C13" s="6">
        <v>24056</v>
      </c>
      <c r="D13" s="8">
        <f t="shared" si="0"/>
        <v>-5.7295645530939243E-3</v>
      </c>
      <c r="E13" s="8">
        <f t="shared" si="0"/>
        <v>-8.8521827624495897E-3</v>
      </c>
    </row>
    <row r="14" spans="1:5" x14ac:dyDescent="0.35">
      <c r="A14" s="26">
        <v>46187</v>
      </c>
      <c r="B14" s="6">
        <v>1051.4000000000001</v>
      </c>
      <c r="C14" s="6">
        <v>24013.1</v>
      </c>
      <c r="D14" s="8">
        <f t="shared" si="0"/>
        <v>9.79638878217437E-3</v>
      </c>
      <c r="E14" s="8">
        <f t="shared" si="0"/>
        <v>-1.7833388759561641E-3</v>
      </c>
    </row>
    <row r="15" spans="1:5" x14ac:dyDescent="0.35">
      <c r="A15" s="26">
        <v>46180</v>
      </c>
      <c r="B15" s="6">
        <v>1116.4000000000001</v>
      </c>
      <c r="C15" s="6">
        <v>23622.9</v>
      </c>
      <c r="D15" s="8">
        <f t="shared" si="0"/>
        <v>6.1822332128590451E-2</v>
      </c>
      <c r="E15" s="8">
        <f t="shared" si="0"/>
        <v>-1.6249463834323685E-2</v>
      </c>
    </row>
    <row r="16" spans="1:5" x14ac:dyDescent="0.35">
      <c r="A16" s="26">
        <v>46173</v>
      </c>
      <c r="B16" s="6">
        <v>1197.5</v>
      </c>
      <c r="C16" s="6">
        <v>23366.7</v>
      </c>
      <c r="D16" s="8">
        <f t="shared" si="0"/>
        <v>7.2644213543532787E-2</v>
      </c>
      <c r="E16" s="8">
        <f t="shared" si="0"/>
        <v>-1.0845408480753882E-2</v>
      </c>
    </row>
    <row r="17" spans="1:5" x14ac:dyDescent="0.35">
      <c r="A17" s="26">
        <v>46166</v>
      </c>
      <c r="B17" s="6">
        <v>1160.9000000000001</v>
      </c>
      <c r="C17" s="6">
        <v>23547.75</v>
      </c>
      <c r="D17" s="8">
        <f t="shared" si="0"/>
        <v>-3.0563674321503087E-2</v>
      </c>
      <c r="E17" s="8">
        <f t="shared" si="0"/>
        <v>7.7482057800202231E-3</v>
      </c>
    </row>
    <row r="18" spans="1:5" x14ac:dyDescent="0.35">
      <c r="A18" s="26">
        <v>46159</v>
      </c>
      <c r="B18" s="6">
        <v>1174.5</v>
      </c>
      <c r="C18" s="6">
        <v>23719.3</v>
      </c>
      <c r="D18" s="8">
        <f t="shared" si="0"/>
        <v>1.1715048669135975E-2</v>
      </c>
      <c r="E18" s="8">
        <f t="shared" si="0"/>
        <v>7.2851970995104764E-3</v>
      </c>
    </row>
    <row r="19" spans="1:5" x14ac:dyDescent="0.35">
      <c r="A19" s="26">
        <v>46152</v>
      </c>
      <c r="B19" s="6">
        <v>1119</v>
      </c>
      <c r="C19" s="6">
        <v>23643.5</v>
      </c>
      <c r="D19" s="8">
        <f t="shared" si="0"/>
        <v>-4.7254150702426556E-2</v>
      </c>
      <c r="E19" s="8">
        <f t="shared" si="0"/>
        <v>-3.1957098228024838E-3</v>
      </c>
    </row>
    <row r="20" spans="1:5" x14ac:dyDescent="0.35">
      <c r="A20" s="26">
        <v>46145</v>
      </c>
      <c r="B20" s="6">
        <v>1179.2</v>
      </c>
      <c r="C20" s="6">
        <v>24176.15</v>
      </c>
      <c r="D20" s="8">
        <f t="shared" si="0"/>
        <v>5.3798033958891933E-2</v>
      </c>
      <c r="E20" s="8">
        <f t="shared" si="0"/>
        <v>2.2528390466724613E-2</v>
      </c>
    </row>
    <row r="21" spans="1:5" x14ac:dyDescent="0.35">
      <c r="A21" s="26">
        <v>46138</v>
      </c>
      <c r="B21" s="6">
        <v>1181.8</v>
      </c>
      <c r="C21" s="6">
        <v>23997.55</v>
      </c>
      <c r="D21" s="8">
        <f t="shared" si="0"/>
        <v>2.204884667571072E-3</v>
      </c>
      <c r="E21" s="8">
        <f t="shared" si="0"/>
        <v>-7.3874458919225283E-3</v>
      </c>
    </row>
    <row r="22" spans="1:5" x14ac:dyDescent="0.35">
      <c r="A22" s="26">
        <v>46131</v>
      </c>
      <c r="B22" s="6">
        <v>1154.5999999999999</v>
      </c>
      <c r="C22" s="6">
        <v>23897.95</v>
      </c>
      <c r="D22" s="8">
        <f t="shared" si="0"/>
        <v>-2.301573870367235E-2</v>
      </c>
      <c r="E22" s="8">
        <f t="shared" si="0"/>
        <v>-4.1504236890849144E-3</v>
      </c>
    </row>
    <row r="23" spans="1:5" x14ac:dyDescent="0.35">
      <c r="A23" s="26">
        <v>46124</v>
      </c>
      <c r="B23" s="6">
        <v>1318.7</v>
      </c>
      <c r="C23" s="6">
        <v>24353.55</v>
      </c>
      <c r="D23" s="8">
        <f t="shared" si="0"/>
        <v>0.14212714359951506</v>
      </c>
      <c r="E23" s="8">
        <f t="shared" si="0"/>
        <v>1.9064396736958589E-2</v>
      </c>
    </row>
    <row r="24" spans="1:5" x14ac:dyDescent="0.35">
      <c r="A24" s="26">
        <v>46117</v>
      </c>
      <c r="B24" s="6">
        <v>1292.5</v>
      </c>
      <c r="C24" s="6">
        <v>24050.6</v>
      </c>
      <c r="D24" s="8">
        <f t="shared" si="0"/>
        <v>-1.9868051869265213E-2</v>
      </c>
      <c r="E24" s="8">
        <f t="shared" si="0"/>
        <v>-1.2439664853789334E-2</v>
      </c>
    </row>
    <row r="25" spans="1:5" x14ac:dyDescent="0.35">
      <c r="A25" s="26">
        <v>46110</v>
      </c>
      <c r="B25" s="6">
        <v>1300.8</v>
      </c>
      <c r="C25" s="6">
        <v>22713.1</v>
      </c>
      <c r="D25" s="8">
        <f t="shared" si="0"/>
        <v>6.4216634429399289E-3</v>
      </c>
      <c r="E25" s="8">
        <f t="shared" si="0"/>
        <v>-5.5611918205782818E-2</v>
      </c>
    </row>
    <row r="26" spans="1:5" x14ac:dyDescent="0.35">
      <c r="A26" s="26">
        <v>46103</v>
      </c>
      <c r="B26" s="6">
        <v>1269.7</v>
      </c>
      <c r="C26" s="6">
        <v>22819.599999999999</v>
      </c>
      <c r="D26" s="8">
        <f t="shared" si="0"/>
        <v>-2.3908364083640721E-2</v>
      </c>
      <c r="E26" s="8">
        <f t="shared" si="0"/>
        <v>4.6889240130145726E-3</v>
      </c>
    </row>
    <row r="27" spans="1:5" x14ac:dyDescent="0.35">
      <c r="A27" s="26">
        <v>46096</v>
      </c>
      <c r="B27" s="6">
        <v>1255.9000000000001</v>
      </c>
      <c r="C27" s="6">
        <v>23114.5</v>
      </c>
      <c r="D27" s="8">
        <f t="shared" si="0"/>
        <v>-1.0868709143892263E-2</v>
      </c>
      <c r="E27" s="8">
        <f t="shared" si="0"/>
        <v>1.2923101193710762E-2</v>
      </c>
    </row>
    <row r="28" spans="1:5" x14ac:dyDescent="0.35">
      <c r="A28" s="26">
        <v>46089</v>
      </c>
      <c r="B28" s="6">
        <v>1248.3</v>
      </c>
      <c r="C28" s="6">
        <v>23151.1</v>
      </c>
      <c r="D28" s="8">
        <f t="shared" si="0"/>
        <v>-6.0514372163389396E-3</v>
      </c>
      <c r="E28" s="8">
        <f t="shared" si="0"/>
        <v>1.5834216617274244E-3</v>
      </c>
    </row>
    <row r="29" spans="1:5" x14ac:dyDescent="0.35">
      <c r="A29" s="26">
        <v>46082</v>
      </c>
      <c r="B29" s="6">
        <v>1308.4000000000001</v>
      </c>
      <c r="C29" s="6">
        <v>24450.45</v>
      </c>
      <c r="D29" s="8">
        <f t="shared" si="0"/>
        <v>4.8145477849875995E-2</v>
      </c>
      <c r="E29" s="8">
        <f t="shared" si="0"/>
        <v>5.6124762970226172E-2</v>
      </c>
    </row>
    <row r="30" spans="1:5" x14ac:dyDescent="0.35">
      <c r="A30" s="26">
        <v>46075</v>
      </c>
      <c r="B30" s="6">
        <v>1300.0999999999999</v>
      </c>
      <c r="C30" s="6">
        <v>25178.65</v>
      </c>
      <c r="D30" s="8">
        <f t="shared" si="0"/>
        <v>-6.3436258025070247E-3</v>
      </c>
      <c r="E30" s="8">
        <f t="shared" si="0"/>
        <v>2.9782682936305926E-2</v>
      </c>
    </row>
    <row r="31" spans="1:5" x14ac:dyDescent="0.35">
      <c r="A31" s="26">
        <v>46068</v>
      </c>
      <c r="B31" s="6">
        <v>1353.2</v>
      </c>
      <c r="C31" s="6">
        <v>25571.25</v>
      </c>
      <c r="D31" s="8">
        <f t="shared" si="0"/>
        <v>4.0843012075994167E-2</v>
      </c>
      <c r="E31" s="8">
        <f t="shared" si="0"/>
        <v>1.5592575455792845E-2</v>
      </c>
    </row>
    <row r="32" spans="1:5" x14ac:dyDescent="0.35">
      <c r="A32" s="26">
        <v>46061</v>
      </c>
      <c r="B32" s="6">
        <v>1369.1</v>
      </c>
      <c r="C32" s="6">
        <v>25471.1</v>
      </c>
      <c r="D32" s="8">
        <f t="shared" si="0"/>
        <v>1.17499261010936E-2</v>
      </c>
      <c r="E32" s="8">
        <f t="shared" si="0"/>
        <v>-3.9165077968421613E-3</v>
      </c>
    </row>
    <row r="33" spans="1:5" x14ac:dyDescent="0.35">
      <c r="A33" s="26">
        <v>46054</v>
      </c>
      <c r="B33" s="6">
        <v>1507.1</v>
      </c>
      <c r="C33" s="6">
        <v>25693.7</v>
      </c>
      <c r="D33" s="8">
        <f t="shared" si="0"/>
        <v>0.10079614345190269</v>
      </c>
      <c r="E33" s="8">
        <f t="shared" si="0"/>
        <v>8.7393163232056814E-3</v>
      </c>
    </row>
    <row r="34" spans="1:5" x14ac:dyDescent="0.35">
      <c r="A34" s="26">
        <v>46047</v>
      </c>
      <c r="B34" s="6">
        <v>1641</v>
      </c>
      <c r="C34" s="6">
        <v>25320.65</v>
      </c>
      <c r="D34" s="8">
        <f t="shared" si="0"/>
        <v>8.884612832592409E-2</v>
      </c>
      <c r="E34" s="8">
        <f t="shared" si="0"/>
        <v>-1.4519123364871489E-2</v>
      </c>
    </row>
    <row r="35" spans="1:5" x14ac:dyDescent="0.35">
      <c r="A35" s="26">
        <v>46040</v>
      </c>
      <c r="B35" s="6">
        <v>1670.8</v>
      </c>
      <c r="C35" s="6">
        <v>25048.65</v>
      </c>
      <c r="D35" s="8">
        <f t="shared" si="0"/>
        <v>1.8159658744667961E-2</v>
      </c>
      <c r="E35" s="8">
        <f t="shared" si="0"/>
        <v>-1.0742220282654702E-2</v>
      </c>
    </row>
    <row r="36" spans="1:5" x14ac:dyDescent="0.35">
      <c r="A36" s="26">
        <v>46033</v>
      </c>
      <c r="B36" s="6">
        <v>1689.8</v>
      </c>
      <c r="C36" s="6">
        <v>25694.35</v>
      </c>
      <c r="D36" s="8">
        <f t="shared" si="0"/>
        <v>1.1371797941106099E-2</v>
      </c>
      <c r="E36" s="8">
        <f t="shared" si="0"/>
        <v>2.5777836330500792E-2</v>
      </c>
    </row>
    <row r="37" spans="1:5" x14ac:dyDescent="0.35">
      <c r="A37" s="26">
        <v>46026</v>
      </c>
      <c r="B37" s="6">
        <v>1614.1</v>
      </c>
      <c r="C37" s="6">
        <v>25683.3</v>
      </c>
      <c r="D37" s="8">
        <f t="shared" si="0"/>
        <v>-4.4798200970529112E-2</v>
      </c>
      <c r="E37" s="8">
        <f t="shared" si="0"/>
        <v>-4.3005563479903142E-4</v>
      </c>
    </row>
    <row r="38" spans="1:5" x14ac:dyDescent="0.35">
      <c r="A38" s="26">
        <v>46019</v>
      </c>
      <c r="B38" s="6">
        <v>1640.4</v>
      </c>
      <c r="C38" s="6">
        <v>26328.55</v>
      </c>
      <c r="D38" s="8">
        <f t="shared" si="0"/>
        <v>1.6293909918840388E-2</v>
      </c>
      <c r="E38" s="8">
        <f t="shared" si="0"/>
        <v>2.5123329167201947E-2</v>
      </c>
    </row>
    <row r="39" spans="1:5" x14ac:dyDescent="0.35">
      <c r="A39" s="26">
        <v>46012</v>
      </c>
      <c r="B39" s="6">
        <v>1656.1</v>
      </c>
      <c r="C39" s="6">
        <v>26042.3</v>
      </c>
      <c r="D39" s="8">
        <f t="shared" ref="D39:E70" si="1">B39/B38-1</f>
        <v>9.5708363813702402E-3</v>
      </c>
      <c r="E39" s="8">
        <f t="shared" si="1"/>
        <v>-1.0872228056615363E-2</v>
      </c>
    </row>
    <row r="40" spans="1:5" x14ac:dyDescent="0.35">
      <c r="A40" s="26">
        <v>46005</v>
      </c>
      <c r="B40" s="6">
        <v>1638.7</v>
      </c>
      <c r="C40" s="6">
        <v>25966.400000000001</v>
      </c>
      <c r="D40" s="8">
        <f t="shared" si="1"/>
        <v>-1.050661191957003E-2</v>
      </c>
      <c r="E40" s="8">
        <f t="shared" si="1"/>
        <v>-2.9144891196245526E-3</v>
      </c>
    </row>
    <row r="41" spans="1:5" x14ac:dyDescent="0.35">
      <c r="A41" s="26">
        <v>45998</v>
      </c>
      <c r="B41" s="6">
        <v>1598.2</v>
      </c>
      <c r="C41" s="6">
        <v>26046.95</v>
      </c>
      <c r="D41" s="8">
        <f t="shared" si="1"/>
        <v>-2.4714712882162648E-2</v>
      </c>
      <c r="E41" s="8">
        <f t="shared" si="1"/>
        <v>3.10208577238269E-3</v>
      </c>
    </row>
    <row r="42" spans="1:5" x14ac:dyDescent="0.35">
      <c r="A42" s="26">
        <v>45991</v>
      </c>
      <c r="B42" s="6">
        <v>1616.2</v>
      </c>
      <c r="C42" s="6">
        <v>26186.45</v>
      </c>
      <c r="D42" s="8">
        <f t="shared" si="1"/>
        <v>1.1262670504317285E-2</v>
      </c>
      <c r="E42" s="8">
        <f t="shared" si="1"/>
        <v>5.3557134328587885E-3</v>
      </c>
    </row>
    <row r="43" spans="1:5" x14ac:dyDescent="0.35">
      <c r="A43" s="26">
        <v>45984</v>
      </c>
      <c r="B43" s="6">
        <v>1560.1</v>
      </c>
      <c r="C43" s="6">
        <v>26202.95</v>
      </c>
      <c r="D43" s="8">
        <f t="shared" si="1"/>
        <v>-3.4711050612548089E-2</v>
      </c>
      <c r="E43" s="8">
        <f t="shared" si="1"/>
        <v>6.3009686307236024E-4</v>
      </c>
    </row>
    <row r="44" spans="1:5" x14ac:dyDescent="0.35">
      <c r="A44" s="26">
        <v>45977</v>
      </c>
      <c r="B44" s="6">
        <v>1545</v>
      </c>
      <c r="C44" s="6">
        <v>26068.15</v>
      </c>
      <c r="D44" s="8">
        <f t="shared" si="1"/>
        <v>-9.6788667393115091E-3</v>
      </c>
      <c r="E44" s="8">
        <f t="shared" si="1"/>
        <v>-5.144458925426254E-3</v>
      </c>
    </row>
    <row r="45" spans="1:5" x14ac:dyDescent="0.35">
      <c r="A45" s="26">
        <v>45970</v>
      </c>
      <c r="B45" s="6">
        <v>1502.8</v>
      </c>
      <c r="C45" s="6">
        <v>25910.05</v>
      </c>
      <c r="D45" s="8">
        <f t="shared" si="1"/>
        <v>-2.7313915857605231E-2</v>
      </c>
      <c r="E45" s="8">
        <f t="shared" si="1"/>
        <v>-6.0648722674989664E-3</v>
      </c>
    </row>
    <row r="46" spans="1:5" x14ac:dyDescent="0.35">
      <c r="A46" s="26">
        <v>45963</v>
      </c>
      <c r="B46" s="6">
        <v>1476.8</v>
      </c>
      <c r="C46" s="6">
        <v>25492.3</v>
      </c>
      <c r="D46" s="8">
        <f t="shared" si="1"/>
        <v>-1.730103806228378E-2</v>
      </c>
      <c r="E46" s="8">
        <f t="shared" si="1"/>
        <v>-1.6123087373432266E-2</v>
      </c>
    </row>
    <row r="47" spans="1:5" x14ac:dyDescent="0.35">
      <c r="A47" s="26">
        <v>45956</v>
      </c>
      <c r="B47" s="6">
        <v>1482.3</v>
      </c>
      <c r="C47" s="6">
        <v>25722.1</v>
      </c>
      <c r="D47" s="8">
        <f t="shared" si="1"/>
        <v>3.7242686890575083E-3</v>
      </c>
      <c r="E47" s="8">
        <f t="shared" si="1"/>
        <v>9.0144867273647122E-3</v>
      </c>
    </row>
    <row r="48" spans="1:5" x14ac:dyDescent="0.35">
      <c r="A48" s="26">
        <v>45949</v>
      </c>
      <c r="B48" s="6">
        <v>1525.4</v>
      </c>
      <c r="C48" s="6">
        <v>25795.15</v>
      </c>
      <c r="D48" s="8">
        <f t="shared" si="1"/>
        <v>2.9076435269513645E-2</v>
      </c>
      <c r="E48" s="8">
        <f t="shared" si="1"/>
        <v>2.839970297915162E-3</v>
      </c>
    </row>
    <row r="49" spans="1:5" x14ac:dyDescent="0.35">
      <c r="A49" s="26">
        <v>45942</v>
      </c>
      <c r="B49" s="6">
        <v>1441.1</v>
      </c>
      <c r="C49" s="6">
        <v>25709.85</v>
      </c>
      <c r="D49" s="8">
        <f t="shared" si="1"/>
        <v>-5.5264192998557893E-2</v>
      </c>
      <c r="E49" s="8">
        <f t="shared" si="1"/>
        <v>-3.3068231818773608E-3</v>
      </c>
    </row>
    <row r="50" spans="1:5" x14ac:dyDescent="0.35">
      <c r="A50" s="26">
        <v>45935</v>
      </c>
      <c r="B50" s="6">
        <v>1514.9</v>
      </c>
      <c r="C50" s="6">
        <v>25285.35</v>
      </c>
      <c r="D50" s="8">
        <f t="shared" si="1"/>
        <v>5.1210880577336804E-2</v>
      </c>
      <c r="E50" s="8">
        <f t="shared" si="1"/>
        <v>-1.6511181512144146E-2</v>
      </c>
    </row>
    <row r="51" spans="1:5" x14ac:dyDescent="0.35">
      <c r="A51" s="26">
        <v>45928</v>
      </c>
      <c r="B51" s="6">
        <v>1446.6</v>
      </c>
      <c r="C51" s="6">
        <v>24894.25</v>
      </c>
      <c r="D51" s="8">
        <f t="shared" si="1"/>
        <v>-4.5085484190375724E-2</v>
      </c>
      <c r="E51" s="8">
        <f t="shared" si="1"/>
        <v>-1.5467454474626607E-2</v>
      </c>
    </row>
    <row r="52" spans="1:5" x14ac:dyDescent="0.35">
      <c r="A52" s="26">
        <v>45921</v>
      </c>
      <c r="B52" s="6">
        <v>1448.9</v>
      </c>
      <c r="C52" s="6">
        <v>24654.7</v>
      </c>
      <c r="D52" s="8">
        <f t="shared" si="1"/>
        <v>1.5899350200472284E-3</v>
      </c>
      <c r="E52" s="8">
        <f t="shared" si="1"/>
        <v>-9.6227040380810758E-3</v>
      </c>
    </row>
    <row r="53" spans="1:5" x14ac:dyDescent="0.35">
      <c r="A53" s="26">
        <v>45914</v>
      </c>
      <c r="B53" s="6">
        <v>1540.2</v>
      </c>
      <c r="C53" s="6">
        <v>25327.05</v>
      </c>
      <c r="D53" s="8">
        <f t="shared" si="1"/>
        <v>6.3013320449996524E-2</v>
      </c>
      <c r="E53" s="8">
        <f t="shared" si="1"/>
        <v>2.7270662388915623E-2</v>
      </c>
    </row>
    <row r="54" spans="1:5" x14ac:dyDescent="0.35">
      <c r="A54" s="26">
        <v>45907</v>
      </c>
      <c r="B54" s="6">
        <v>1525.6</v>
      </c>
      <c r="C54" s="6">
        <v>25114</v>
      </c>
      <c r="D54" s="8">
        <f t="shared" si="1"/>
        <v>-9.479288404103503E-3</v>
      </c>
      <c r="E54" s="8">
        <f t="shared" si="1"/>
        <v>-8.4119548072120187E-3</v>
      </c>
    </row>
    <row r="55" spans="1:5" x14ac:dyDescent="0.35">
      <c r="A55" s="26">
        <v>45900</v>
      </c>
      <c r="B55" s="6">
        <v>1444.6</v>
      </c>
      <c r="C55" s="6">
        <v>24741</v>
      </c>
      <c r="D55" s="8">
        <f t="shared" si="1"/>
        <v>-5.3093864708966931E-2</v>
      </c>
      <c r="E55" s="8">
        <f t="shared" si="1"/>
        <v>-1.4852273632236956E-2</v>
      </c>
    </row>
    <row r="56" spans="1:5" x14ac:dyDescent="0.35">
      <c r="A56" s="26">
        <v>45893</v>
      </c>
      <c r="B56" s="6">
        <v>1469.6</v>
      </c>
      <c r="C56" s="6">
        <v>24426.85</v>
      </c>
      <c r="D56" s="8">
        <f t="shared" si="1"/>
        <v>1.7305828603073614E-2</v>
      </c>
      <c r="E56" s="8">
        <f t="shared" si="1"/>
        <v>-1.2697546582595698E-2</v>
      </c>
    </row>
    <row r="57" spans="1:5" x14ac:dyDescent="0.35">
      <c r="A57" s="26">
        <v>45886</v>
      </c>
      <c r="B57" s="6">
        <v>1487.5</v>
      </c>
      <c r="C57" s="6">
        <v>24870.1</v>
      </c>
      <c r="D57" s="8">
        <f t="shared" si="1"/>
        <v>1.2180185084376793E-2</v>
      </c>
      <c r="E57" s="8">
        <f t="shared" si="1"/>
        <v>1.8146015552557904E-2</v>
      </c>
    </row>
    <row r="58" spans="1:5" x14ac:dyDescent="0.35">
      <c r="A58" s="26">
        <v>45879</v>
      </c>
      <c r="B58" s="6">
        <v>1447.7</v>
      </c>
      <c r="C58" s="6">
        <v>24631.3</v>
      </c>
      <c r="D58" s="8">
        <f t="shared" si="1"/>
        <v>-2.6756302521008357E-2</v>
      </c>
      <c r="E58" s="8">
        <f t="shared" si="1"/>
        <v>-9.6018914278591661E-3</v>
      </c>
    </row>
    <row r="59" spans="1:5" x14ac:dyDescent="0.35">
      <c r="A59" s="26">
        <v>45872</v>
      </c>
      <c r="B59" s="6">
        <v>1423.1</v>
      </c>
      <c r="C59" s="6">
        <v>24363.3</v>
      </c>
      <c r="D59" s="8">
        <f t="shared" si="1"/>
        <v>-1.6992470815776817E-2</v>
      </c>
      <c r="E59" s="8">
        <f t="shared" si="1"/>
        <v>-1.0880465099284198E-2</v>
      </c>
    </row>
    <row r="60" spans="1:5" x14ac:dyDescent="0.35">
      <c r="A60" s="26">
        <v>45865</v>
      </c>
      <c r="B60" s="6">
        <v>1469.6</v>
      </c>
      <c r="C60" s="6">
        <v>24565.35</v>
      </c>
      <c r="D60" s="8">
        <f t="shared" si="1"/>
        <v>3.2675145808446437E-2</v>
      </c>
      <c r="E60" s="8">
        <f t="shared" si="1"/>
        <v>8.2932115107559046E-3</v>
      </c>
    </row>
    <row r="61" spans="1:5" x14ac:dyDescent="0.35">
      <c r="A61" s="26">
        <v>45858</v>
      </c>
      <c r="B61" s="6">
        <v>1515.7</v>
      </c>
      <c r="C61" s="6">
        <v>24837</v>
      </c>
      <c r="D61" s="8">
        <f t="shared" si="1"/>
        <v>3.1369080021774742E-2</v>
      </c>
      <c r="E61" s="8">
        <f t="shared" si="1"/>
        <v>1.1058258889045103E-2</v>
      </c>
    </row>
    <row r="62" spans="1:5" x14ac:dyDescent="0.35">
      <c r="A62" s="26">
        <v>45851</v>
      </c>
      <c r="B62" s="6">
        <v>1586.1</v>
      </c>
      <c r="C62" s="6">
        <v>24968.400000000001</v>
      </c>
      <c r="D62" s="8">
        <f t="shared" si="1"/>
        <v>4.6447186118624861E-2</v>
      </c>
      <c r="E62" s="8">
        <f t="shared" si="1"/>
        <v>5.2904940210170004E-3</v>
      </c>
    </row>
    <row r="63" spans="1:5" x14ac:dyDescent="0.35">
      <c r="A63" s="26">
        <v>45844</v>
      </c>
      <c r="B63" s="6">
        <v>1594.9</v>
      </c>
      <c r="C63" s="6">
        <v>25149.85</v>
      </c>
      <c r="D63" s="8">
        <f t="shared" si="1"/>
        <v>5.5481999873905341E-3</v>
      </c>
      <c r="E63" s="8">
        <f t="shared" si="1"/>
        <v>7.267185722753533E-3</v>
      </c>
    </row>
    <row r="64" spans="1:5" x14ac:dyDescent="0.35">
      <c r="A64" s="26">
        <v>45837</v>
      </c>
      <c r="B64" s="6">
        <v>1640.7</v>
      </c>
      <c r="C64" s="6">
        <v>25461</v>
      </c>
      <c r="D64" s="8">
        <f t="shared" si="1"/>
        <v>2.8716533951971934E-2</v>
      </c>
      <c r="E64" s="8">
        <f t="shared" si="1"/>
        <v>1.2371843172026997E-2</v>
      </c>
    </row>
    <row r="65" spans="1:5" x14ac:dyDescent="0.35">
      <c r="A65" s="26">
        <v>45830</v>
      </c>
      <c r="B65" s="6">
        <v>1608</v>
      </c>
      <c r="C65" s="6">
        <v>25637.8</v>
      </c>
      <c r="D65" s="8">
        <f t="shared" si="1"/>
        <v>-1.9930517462058872E-2</v>
      </c>
      <c r="E65" s="8">
        <f t="shared" si="1"/>
        <v>6.9439534975059836E-3</v>
      </c>
    </row>
    <row r="66" spans="1:5" x14ac:dyDescent="0.35">
      <c r="A66" s="26">
        <v>45823</v>
      </c>
      <c r="B66" s="6">
        <v>1622.9</v>
      </c>
      <c r="C66" s="6">
        <v>25112.400000000001</v>
      </c>
      <c r="D66" s="8">
        <f t="shared" si="1"/>
        <v>9.2661691542288427E-3</v>
      </c>
      <c r="E66" s="8">
        <f t="shared" si="1"/>
        <v>-2.0493178041797622E-2</v>
      </c>
    </row>
    <row r="67" spans="1:5" x14ac:dyDescent="0.35">
      <c r="A67" s="26">
        <v>45816</v>
      </c>
      <c r="B67" s="6">
        <v>1602</v>
      </c>
      <c r="C67" s="6">
        <v>24718.6</v>
      </c>
      <c r="D67" s="8">
        <f t="shared" si="1"/>
        <v>-1.2878181033951663E-2</v>
      </c>
      <c r="E67" s="8">
        <f t="shared" si="1"/>
        <v>-1.568149599401103E-2</v>
      </c>
    </row>
    <row r="68" spans="1:5" x14ac:dyDescent="0.35">
      <c r="A68" s="26">
        <v>45809</v>
      </c>
      <c r="B68" s="6">
        <v>1563.8</v>
      </c>
      <c r="C68" s="6">
        <v>25003.05</v>
      </c>
      <c r="D68" s="8">
        <f t="shared" si="1"/>
        <v>-2.384519350811487E-2</v>
      </c>
      <c r="E68" s="8">
        <f t="shared" si="1"/>
        <v>1.1507528743537332E-2</v>
      </c>
    </row>
    <row r="69" spans="1:5" x14ac:dyDescent="0.35">
      <c r="A69" s="26">
        <v>45802</v>
      </c>
      <c r="B69" s="6">
        <v>1562.7</v>
      </c>
      <c r="C69" s="6">
        <v>24750.7</v>
      </c>
      <c r="D69" s="8">
        <f t="shared" si="1"/>
        <v>-7.0341475892055083E-4</v>
      </c>
      <c r="E69" s="8">
        <f t="shared" si="1"/>
        <v>-1.0092768682220754E-2</v>
      </c>
    </row>
    <row r="70" spans="1:5" x14ac:dyDescent="0.35">
      <c r="A70" s="26">
        <v>45795</v>
      </c>
      <c r="B70" s="6">
        <v>1564.8</v>
      </c>
      <c r="C70" s="6">
        <v>24853.15</v>
      </c>
      <c r="D70" s="8">
        <f t="shared" si="1"/>
        <v>1.34382799001731E-3</v>
      </c>
      <c r="E70" s="8">
        <f t="shared" si="1"/>
        <v>4.139276868937003E-3</v>
      </c>
    </row>
    <row r="71" spans="1:5" x14ac:dyDescent="0.35">
      <c r="A71" s="26">
        <v>45788</v>
      </c>
      <c r="B71" s="6">
        <v>1589.9</v>
      </c>
      <c r="C71" s="6">
        <v>25019.8</v>
      </c>
      <c r="D71" s="8">
        <f t="shared" ref="D71:E102" si="2">B71/B70-1</f>
        <v>1.6040388548057338E-2</v>
      </c>
      <c r="E71" s="8">
        <f t="shared" si="2"/>
        <v>6.705387445856914E-3</v>
      </c>
    </row>
    <row r="72" spans="1:5" x14ac:dyDescent="0.35">
      <c r="A72" s="26">
        <v>45781</v>
      </c>
      <c r="B72" s="6">
        <v>1507.6</v>
      </c>
      <c r="C72" s="6">
        <v>24008</v>
      </c>
      <c r="D72" s="8">
        <f t="shared" si="2"/>
        <v>-5.1764261903264441E-2</v>
      </c>
      <c r="E72" s="8">
        <f t="shared" si="2"/>
        <v>-4.0439971542538311E-2</v>
      </c>
    </row>
    <row r="73" spans="1:5" x14ac:dyDescent="0.35">
      <c r="A73" s="26">
        <v>45774</v>
      </c>
      <c r="B73" s="6">
        <v>1506.8</v>
      </c>
      <c r="C73" s="6">
        <v>24346.7</v>
      </c>
      <c r="D73" s="8">
        <f t="shared" si="2"/>
        <v>-5.3064473335096007E-4</v>
      </c>
      <c r="E73" s="8">
        <f t="shared" si="2"/>
        <v>1.4107797400866318E-2</v>
      </c>
    </row>
    <row r="74" spans="1:5" x14ac:dyDescent="0.35">
      <c r="A74" s="26">
        <v>45767</v>
      </c>
      <c r="B74" s="6">
        <v>1480.2</v>
      </c>
      <c r="C74" s="6">
        <v>24039.35</v>
      </c>
      <c r="D74" s="8">
        <f t="shared" si="2"/>
        <v>-1.7653305017255039E-2</v>
      </c>
      <c r="E74" s="8">
        <f t="shared" si="2"/>
        <v>-1.2623887426222113E-2</v>
      </c>
    </row>
    <row r="75" spans="1:5" x14ac:dyDescent="0.35">
      <c r="A75" s="26">
        <v>45760</v>
      </c>
      <c r="B75" s="6">
        <v>1419.5</v>
      </c>
      <c r="C75" s="6">
        <v>23851.65</v>
      </c>
      <c r="D75" s="8">
        <f t="shared" si="2"/>
        <v>-4.1007971895689832E-2</v>
      </c>
      <c r="E75" s="8">
        <f t="shared" si="2"/>
        <v>-7.8080314151587338E-3</v>
      </c>
    </row>
    <row r="76" spans="1:5" x14ac:dyDescent="0.35">
      <c r="A76" s="26">
        <v>45753</v>
      </c>
      <c r="B76" s="6">
        <v>1409.45</v>
      </c>
      <c r="C76" s="6">
        <v>22828.55</v>
      </c>
      <c r="D76" s="8">
        <f t="shared" si="2"/>
        <v>-7.079957731595643E-3</v>
      </c>
      <c r="E76" s="8">
        <f t="shared" si="2"/>
        <v>-4.2894307102443685E-2</v>
      </c>
    </row>
    <row r="77" spans="1:5" x14ac:dyDescent="0.35">
      <c r="A77" s="26">
        <v>45746</v>
      </c>
      <c r="B77" s="6">
        <v>1451.65</v>
      </c>
      <c r="C77" s="6">
        <v>22904.45</v>
      </c>
      <c r="D77" s="8">
        <f t="shared" si="2"/>
        <v>2.9940757032885124E-2</v>
      </c>
      <c r="E77" s="8">
        <f t="shared" si="2"/>
        <v>3.3247840971064591E-3</v>
      </c>
    </row>
    <row r="78" spans="1:5" x14ac:dyDescent="0.35">
      <c r="A78" s="26">
        <v>45739</v>
      </c>
      <c r="B78" s="6">
        <v>1570.65</v>
      </c>
      <c r="C78" s="6">
        <v>23519.35</v>
      </c>
      <c r="D78" s="8">
        <f t="shared" si="2"/>
        <v>8.1975682843660636E-2</v>
      </c>
      <c r="E78" s="8">
        <f t="shared" si="2"/>
        <v>2.6846311524616251E-2</v>
      </c>
    </row>
    <row r="79" spans="1:5" x14ac:dyDescent="0.35">
      <c r="A79" s="26">
        <v>45732</v>
      </c>
      <c r="B79" s="6">
        <v>1592.55</v>
      </c>
      <c r="C79" s="6">
        <v>23350.400000000001</v>
      </c>
      <c r="D79" s="8">
        <f t="shared" si="2"/>
        <v>1.3943271893801734E-2</v>
      </c>
      <c r="E79" s="8">
        <f t="shared" si="2"/>
        <v>-7.1834468214468927E-3</v>
      </c>
    </row>
    <row r="80" spans="1:5" x14ac:dyDescent="0.35">
      <c r="A80" s="26">
        <v>45725</v>
      </c>
      <c r="B80" s="6">
        <v>1579.85</v>
      </c>
      <c r="C80" s="6">
        <v>22397.200000000001</v>
      </c>
      <c r="D80" s="8">
        <f t="shared" si="2"/>
        <v>-7.9746318796898308E-3</v>
      </c>
      <c r="E80" s="8">
        <f t="shared" si="2"/>
        <v>-4.0821570508428162E-2</v>
      </c>
    </row>
    <row r="81" spans="1:5" x14ac:dyDescent="0.35">
      <c r="A81" s="26">
        <v>45718</v>
      </c>
      <c r="B81" s="6">
        <v>1686</v>
      </c>
      <c r="C81" s="6">
        <v>22552.5</v>
      </c>
      <c r="D81" s="8">
        <f t="shared" si="2"/>
        <v>6.7189923093964765E-2</v>
      </c>
      <c r="E81" s="8">
        <f t="shared" si="2"/>
        <v>6.9339024520922443E-3</v>
      </c>
    </row>
    <row r="82" spans="1:5" x14ac:dyDescent="0.35">
      <c r="A82" s="26">
        <v>45711</v>
      </c>
      <c r="B82" s="6">
        <v>1687.7</v>
      </c>
      <c r="C82" s="6">
        <v>22124.7</v>
      </c>
      <c r="D82" s="8">
        <f t="shared" si="2"/>
        <v>1.0083036773429477E-3</v>
      </c>
      <c r="E82" s="8">
        <f t="shared" si="2"/>
        <v>-1.8969072164948475E-2</v>
      </c>
    </row>
    <row r="83" spans="1:5" x14ac:dyDescent="0.35">
      <c r="A83" s="26">
        <v>45704</v>
      </c>
      <c r="B83" s="6">
        <v>1815</v>
      </c>
      <c r="C83" s="6">
        <v>22795.9</v>
      </c>
      <c r="D83" s="8">
        <f t="shared" si="2"/>
        <v>7.5428097410677131E-2</v>
      </c>
      <c r="E83" s="8">
        <f t="shared" si="2"/>
        <v>3.0337134514818231E-2</v>
      </c>
    </row>
    <row r="84" spans="1:5" x14ac:dyDescent="0.35">
      <c r="A84" s="26">
        <v>45697</v>
      </c>
      <c r="B84" s="6">
        <v>1856.4</v>
      </c>
      <c r="C84" s="6">
        <v>22929.25</v>
      </c>
      <c r="D84" s="8">
        <f t="shared" si="2"/>
        <v>2.2809917355371967E-2</v>
      </c>
      <c r="E84" s="8">
        <f t="shared" si="2"/>
        <v>5.8497361367613188E-3</v>
      </c>
    </row>
    <row r="85" spans="1:5" x14ac:dyDescent="0.35">
      <c r="A85" s="26">
        <v>45690</v>
      </c>
      <c r="B85" s="6">
        <v>1903.65</v>
      </c>
      <c r="C85" s="6">
        <v>23559.95</v>
      </c>
      <c r="D85" s="8">
        <f t="shared" si="2"/>
        <v>2.5452488687782715E-2</v>
      </c>
      <c r="E85" s="8">
        <f t="shared" si="2"/>
        <v>2.7506351058146361E-2</v>
      </c>
    </row>
    <row r="86" spans="1:5" x14ac:dyDescent="0.35">
      <c r="A86" s="26">
        <v>45683</v>
      </c>
      <c r="B86" s="6">
        <v>1879.8</v>
      </c>
      <c r="C86" s="6">
        <v>23508.400000000001</v>
      </c>
      <c r="D86" s="8">
        <f t="shared" si="2"/>
        <v>-1.2528563548971805E-2</v>
      </c>
      <c r="E86" s="8">
        <f t="shared" si="2"/>
        <v>-2.188035203809835E-3</v>
      </c>
    </row>
    <row r="87" spans="1:5" x14ac:dyDescent="0.35">
      <c r="A87" s="26">
        <v>45676</v>
      </c>
      <c r="B87" s="6">
        <v>1875.45</v>
      </c>
      <c r="C87" s="6">
        <v>23092.2</v>
      </c>
      <c r="D87" s="8">
        <f t="shared" si="2"/>
        <v>-2.3140759655282395E-3</v>
      </c>
      <c r="E87" s="8">
        <f t="shared" si="2"/>
        <v>-1.7704309948784247E-2</v>
      </c>
    </row>
    <row r="88" spans="1:5" x14ac:dyDescent="0.35">
      <c r="A88" s="26">
        <v>45669</v>
      </c>
      <c r="B88" s="6">
        <v>1815.45</v>
      </c>
      <c r="C88" s="6">
        <v>23203.200000000001</v>
      </c>
      <c r="D88" s="8">
        <f t="shared" si="2"/>
        <v>-3.1992321842757687E-2</v>
      </c>
      <c r="E88" s="8">
        <f t="shared" si="2"/>
        <v>4.8068178865590117E-3</v>
      </c>
    </row>
    <row r="89" spans="1:5" x14ac:dyDescent="0.35">
      <c r="A89" s="26">
        <v>45662</v>
      </c>
      <c r="B89" s="6">
        <v>1966.95</v>
      </c>
      <c r="C89" s="6">
        <v>23431.5</v>
      </c>
      <c r="D89" s="8">
        <f t="shared" si="2"/>
        <v>8.3450384202263805E-2</v>
      </c>
      <c r="E89" s="8">
        <f t="shared" si="2"/>
        <v>9.8391601158460684E-3</v>
      </c>
    </row>
    <row r="90" spans="1:5" x14ac:dyDescent="0.35">
      <c r="A90" s="26">
        <v>45655</v>
      </c>
      <c r="B90" s="6">
        <v>1938.75</v>
      </c>
      <c r="C90" s="6">
        <v>24004.75</v>
      </c>
      <c r="D90" s="8">
        <f t="shared" si="2"/>
        <v>-1.4336917562724039E-2</v>
      </c>
      <c r="E90" s="8">
        <f t="shared" si="2"/>
        <v>2.4464929688666981E-2</v>
      </c>
    </row>
    <row r="91" spans="1:5" x14ac:dyDescent="0.35">
      <c r="A91" s="26">
        <v>45648</v>
      </c>
      <c r="B91" s="6">
        <v>1916.75</v>
      </c>
      <c r="C91" s="6">
        <v>23813.4</v>
      </c>
      <c r="D91" s="8">
        <f t="shared" si="2"/>
        <v>-1.134751773049647E-2</v>
      </c>
      <c r="E91" s="8">
        <f t="shared" si="2"/>
        <v>-7.9713390058216982E-3</v>
      </c>
    </row>
    <row r="92" spans="1:5" x14ac:dyDescent="0.35">
      <c r="A92" s="26">
        <v>45641</v>
      </c>
      <c r="B92" s="6">
        <v>1922.15</v>
      </c>
      <c r="C92" s="6">
        <v>23587.5</v>
      </c>
      <c r="D92" s="8">
        <f t="shared" si="2"/>
        <v>2.8172688143994762E-3</v>
      </c>
      <c r="E92" s="8">
        <f t="shared" si="2"/>
        <v>-9.4862556375822082E-3</v>
      </c>
    </row>
    <row r="93" spans="1:5" x14ac:dyDescent="0.35">
      <c r="A93" s="26">
        <v>45634</v>
      </c>
      <c r="B93" s="6">
        <v>1999.7</v>
      </c>
      <c r="C93" s="6">
        <v>24768.3</v>
      </c>
      <c r="D93" s="8">
        <f t="shared" si="2"/>
        <v>4.0345446505215543E-2</v>
      </c>
      <c r="E93" s="8">
        <f t="shared" si="2"/>
        <v>5.0060413354531041E-2</v>
      </c>
    </row>
    <row r="94" spans="1:5" x14ac:dyDescent="0.35">
      <c r="A94" s="26">
        <v>45627</v>
      </c>
      <c r="B94" s="6">
        <v>1922.4</v>
      </c>
      <c r="C94" s="6">
        <v>24677.8</v>
      </c>
      <c r="D94" s="8">
        <f t="shared" si="2"/>
        <v>-3.8655798369755412E-2</v>
      </c>
      <c r="E94" s="8">
        <f t="shared" si="2"/>
        <v>-3.653864011660013E-3</v>
      </c>
    </row>
    <row r="95" spans="1:5" x14ac:dyDescent="0.35">
      <c r="A95" s="26">
        <v>45620</v>
      </c>
      <c r="B95" s="6">
        <v>1857.85</v>
      </c>
      <c r="C95" s="6">
        <v>24131.1</v>
      </c>
      <c r="D95" s="8">
        <f t="shared" si="2"/>
        <v>-3.3577819392426211E-2</v>
      </c>
      <c r="E95" s="8">
        <f t="shared" si="2"/>
        <v>-2.2153514494809179E-2</v>
      </c>
    </row>
    <row r="96" spans="1:5" x14ac:dyDescent="0.35">
      <c r="A96" s="26">
        <v>45613</v>
      </c>
      <c r="B96" s="6">
        <v>1902.25</v>
      </c>
      <c r="C96" s="6">
        <v>23907.25</v>
      </c>
      <c r="D96" s="8">
        <f t="shared" si="2"/>
        <v>2.389859245902537E-2</v>
      </c>
      <c r="E96" s="8">
        <f t="shared" si="2"/>
        <v>-9.2764109385812255E-3</v>
      </c>
    </row>
    <row r="97" spans="1:5" x14ac:dyDescent="0.35">
      <c r="A97" s="26">
        <v>45606</v>
      </c>
      <c r="B97" s="6">
        <v>1864.55</v>
      </c>
      <c r="C97" s="6">
        <v>23532.7</v>
      </c>
      <c r="D97" s="8">
        <f t="shared" si="2"/>
        <v>-1.9818635825995523E-2</v>
      </c>
      <c r="E97" s="8">
        <f t="shared" si="2"/>
        <v>-1.5666795637306663E-2</v>
      </c>
    </row>
    <row r="98" spans="1:5" x14ac:dyDescent="0.35">
      <c r="A98" s="26">
        <v>45599</v>
      </c>
      <c r="B98" s="6">
        <v>1829.95</v>
      </c>
      <c r="C98" s="6">
        <v>24148.2</v>
      </c>
      <c r="D98" s="8">
        <f t="shared" si="2"/>
        <v>-1.855675632190068E-2</v>
      </c>
      <c r="E98" s="8">
        <f t="shared" si="2"/>
        <v>2.6155094825498049E-2</v>
      </c>
    </row>
    <row r="99" spans="1:5" x14ac:dyDescent="0.35">
      <c r="A99" s="26">
        <v>45592</v>
      </c>
      <c r="B99" s="6">
        <v>1760.85</v>
      </c>
      <c r="C99" s="6">
        <v>24304.35</v>
      </c>
      <c r="D99" s="8">
        <f t="shared" si="2"/>
        <v>-3.7760594551763838E-2</v>
      </c>
      <c r="E99" s="8">
        <f t="shared" si="2"/>
        <v>6.4663204710908584E-3</v>
      </c>
    </row>
    <row r="100" spans="1:5" x14ac:dyDescent="0.35">
      <c r="A100" s="26">
        <v>45585</v>
      </c>
      <c r="B100" s="6">
        <v>1862.05</v>
      </c>
      <c r="C100" s="6">
        <v>24180.799999999999</v>
      </c>
      <c r="D100" s="8">
        <f t="shared" si="2"/>
        <v>5.7472243518755128E-2</v>
      </c>
      <c r="E100" s="8">
        <f t="shared" si="2"/>
        <v>-5.0834521392261189E-3</v>
      </c>
    </row>
    <row r="101" spans="1:5" x14ac:dyDescent="0.35">
      <c r="A101" s="26">
        <v>45578</v>
      </c>
      <c r="B101" s="6">
        <v>1879.6</v>
      </c>
      <c r="C101" s="6">
        <v>24854.05</v>
      </c>
      <c r="D101" s="8">
        <f t="shared" si="2"/>
        <v>9.4250959963479986E-3</v>
      </c>
      <c r="E101" s="8">
        <f t="shared" si="2"/>
        <v>2.7842337722490562E-2</v>
      </c>
    </row>
    <row r="102" spans="1:5" x14ac:dyDescent="0.35">
      <c r="A102" s="26">
        <v>45571</v>
      </c>
      <c r="B102" s="6">
        <v>1935.1</v>
      </c>
      <c r="C102" s="6">
        <v>24964.25</v>
      </c>
      <c r="D102" s="8">
        <f t="shared" si="2"/>
        <v>2.9527559055118058E-2</v>
      </c>
      <c r="E102" s="8">
        <f t="shared" si="2"/>
        <v>4.4338850207512603E-3</v>
      </c>
    </row>
    <row r="103" spans="1:5" x14ac:dyDescent="0.35">
      <c r="A103" s="26">
        <v>45564</v>
      </c>
      <c r="B103" s="6">
        <v>1918.15</v>
      </c>
      <c r="C103" s="6">
        <v>25014.6</v>
      </c>
      <c r="D103" s="8">
        <f t="shared" ref="D103:E110" si="3">B103/B102-1</f>
        <v>-8.7592372487208525E-3</v>
      </c>
      <c r="E103" s="8">
        <f t="shared" si="3"/>
        <v>2.0168841443264363E-3</v>
      </c>
    </row>
    <row r="104" spans="1:5" x14ac:dyDescent="0.35">
      <c r="A104" s="26">
        <v>45557</v>
      </c>
      <c r="B104" s="6">
        <v>1906.75</v>
      </c>
      <c r="C104" s="6">
        <v>26178.95</v>
      </c>
      <c r="D104" s="8">
        <f t="shared" si="3"/>
        <v>-5.9432265464119949E-3</v>
      </c>
      <c r="E104" s="8">
        <f t="shared" si="3"/>
        <v>4.6546816659071233E-2</v>
      </c>
    </row>
    <row r="105" spans="1:5" x14ac:dyDescent="0.35">
      <c r="A105" s="26">
        <v>45550</v>
      </c>
      <c r="B105" s="6">
        <v>1905.75</v>
      </c>
      <c r="C105" s="6">
        <v>25790.95</v>
      </c>
      <c r="D105" s="8">
        <f t="shared" si="3"/>
        <v>-5.2445260259603721E-4</v>
      </c>
      <c r="E105" s="8">
        <f t="shared" si="3"/>
        <v>-1.4821068071866894E-2</v>
      </c>
    </row>
    <row r="106" spans="1:5" x14ac:dyDescent="0.35">
      <c r="A106" s="26">
        <v>45543</v>
      </c>
      <c r="B106" s="6">
        <v>1944.1</v>
      </c>
      <c r="C106" s="6">
        <v>25356.5</v>
      </c>
      <c r="D106" s="8">
        <f t="shared" si="3"/>
        <v>2.0123311032401947E-2</v>
      </c>
      <c r="E106" s="8">
        <f t="shared" si="3"/>
        <v>-1.684505611464493E-2</v>
      </c>
    </row>
    <row r="107" spans="1:5" x14ac:dyDescent="0.35">
      <c r="A107" s="26">
        <v>45536</v>
      </c>
      <c r="B107" s="6">
        <v>1901.85</v>
      </c>
      <c r="C107" s="6">
        <v>24852.15</v>
      </c>
      <c r="D107" s="8">
        <f t="shared" si="3"/>
        <v>-2.1732421171750449E-2</v>
      </c>
      <c r="E107" s="8">
        <f t="shared" si="3"/>
        <v>-1.9890363417664036E-2</v>
      </c>
    </row>
    <row r="108" spans="1:5" x14ac:dyDescent="0.35">
      <c r="A108" s="26">
        <v>45529</v>
      </c>
      <c r="B108" s="6">
        <v>1943.7</v>
      </c>
      <c r="C108" s="6">
        <v>25235.9</v>
      </c>
      <c r="D108" s="8">
        <f t="shared" si="3"/>
        <v>2.2004889975550279E-2</v>
      </c>
      <c r="E108" s="8">
        <f t="shared" si="3"/>
        <v>1.544131996628062E-2</v>
      </c>
    </row>
    <row r="109" spans="1:5" x14ac:dyDescent="0.35">
      <c r="A109" s="26">
        <v>45522</v>
      </c>
      <c r="B109" s="6">
        <v>1862.1</v>
      </c>
      <c r="C109" s="6">
        <v>24823.15</v>
      </c>
      <c r="D109" s="8">
        <f t="shared" si="3"/>
        <v>-4.1981787312856955E-2</v>
      </c>
      <c r="E109" s="8">
        <f t="shared" si="3"/>
        <v>-1.6355667917530181E-2</v>
      </c>
    </row>
    <row r="110" spans="1:5" x14ac:dyDescent="0.35">
      <c r="A110" s="26">
        <v>45515</v>
      </c>
      <c r="B110" s="6">
        <v>1858.95</v>
      </c>
      <c r="C110" s="6">
        <v>24541.15</v>
      </c>
      <c r="D110" s="8">
        <f t="shared" si="3"/>
        <v>-1.6916384726920475E-3</v>
      </c>
      <c r="E110" s="8">
        <f t="shared" ref="E110:E173" si="4">C110/C109-1</f>
        <v>-1.1360363209342861E-2</v>
      </c>
    </row>
    <row r="111" spans="1:5" x14ac:dyDescent="0.35">
      <c r="A111" s="26">
        <v>45508</v>
      </c>
      <c r="B111" s="6">
        <v>1770.75</v>
      </c>
      <c r="C111" s="6">
        <v>24367.5</v>
      </c>
      <c r="D111" s="8">
        <f t="shared" ref="D111:D174" si="5">B111/B110-1</f>
        <v>-4.7446138949406969E-2</v>
      </c>
      <c r="E111" s="8">
        <f t="shared" si="4"/>
        <v>-7.0758705276647849E-3</v>
      </c>
    </row>
    <row r="112" spans="1:5" x14ac:dyDescent="0.35">
      <c r="A112" s="26">
        <v>45501</v>
      </c>
      <c r="B112" s="6">
        <v>1821.2</v>
      </c>
      <c r="C112" s="6">
        <v>24717.7</v>
      </c>
      <c r="D112" s="8">
        <f t="shared" si="5"/>
        <v>2.8490752506000305E-2</v>
      </c>
      <c r="E112" s="8">
        <f t="shared" si="4"/>
        <v>1.4371601518415877E-2</v>
      </c>
    </row>
    <row r="113" spans="1:5" x14ac:dyDescent="0.35">
      <c r="A113" s="26">
        <v>45494</v>
      </c>
      <c r="B113" s="6">
        <v>1878.9</v>
      </c>
      <c r="C113" s="6">
        <v>24834.85</v>
      </c>
      <c r="D113" s="8">
        <f t="shared" si="5"/>
        <v>3.1682407204041363E-2</v>
      </c>
      <c r="E113" s="8">
        <f t="shared" si="4"/>
        <v>4.7395186445340354E-3</v>
      </c>
    </row>
    <row r="114" spans="1:5" x14ac:dyDescent="0.35">
      <c r="A114" s="26">
        <v>45487</v>
      </c>
      <c r="B114" s="6">
        <v>1792.95</v>
      </c>
      <c r="C114" s="6">
        <v>24530.9</v>
      </c>
      <c r="D114" s="8">
        <f t="shared" si="5"/>
        <v>-4.5744850710522145E-2</v>
      </c>
      <c r="E114" s="8">
        <f t="shared" si="4"/>
        <v>-1.2238849842056476E-2</v>
      </c>
    </row>
    <row r="115" spans="1:5" x14ac:dyDescent="0.35">
      <c r="A115" s="26">
        <v>45480</v>
      </c>
      <c r="B115" s="6">
        <v>1711.75</v>
      </c>
      <c r="C115" s="6">
        <v>24502.15</v>
      </c>
      <c r="D115" s="8">
        <f t="shared" si="5"/>
        <v>-4.528849103432897E-2</v>
      </c>
      <c r="E115" s="8">
        <f t="shared" si="4"/>
        <v>-1.1719912436967128E-3</v>
      </c>
    </row>
    <row r="116" spans="1:5" x14ac:dyDescent="0.35">
      <c r="A116" s="26">
        <v>45473</v>
      </c>
      <c r="B116" s="6">
        <v>1647.45</v>
      </c>
      <c r="C116" s="6">
        <v>24323.85</v>
      </c>
      <c r="D116" s="8">
        <f t="shared" si="5"/>
        <v>-3.7563896597049728E-2</v>
      </c>
      <c r="E116" s="8">
        <f t="shared" si="4"/>
        <v>-7.2769124342150215E-3</v>
      </c>
    </row>
    <row r="117" spans="1:5" x14ac:dyDescent="0.35">
      <c r="A117" s="26">
        <v>45466</v>
      </c>
      <c r="B117" s="6">
        <v>1566.75</v>
      </c>
      <c r="C117" s="6">
        <v>24010.6</v>
      </c>
      <c r="D117" s="8">
        <f t="shared" si="5"/>
        <v>-4.8984794682691457E-2</v>
      </c>
      <c r="E117" s="8">
        <f t="shared" si="4"/>
        <v>-1.2878306682535867E-2</v>
      </c>
    </row>
    <row r="118" spans="1:5" x14ac:dyDescent="0.35">
      <c r="A118" s="26">
        <v>45459</v>
      </c>
      <c r="B118" s="6">
        <v>1532.7</v>
      </c>
      <c r="C118" s="6">
        <v>23501.1</v>
      </c>
      <c r="D118" s="8">
        <f t="shared" si="5"/>
        <v>-2.1732886548587849E-2</v>
      </c>
      <c r="E118" s="8">
        <f t="shared" si="4"/>
        <v>-2.1219794590722429E-2</v>
      </c>
    </row>
    <row r="119" spans="1:5" x14ac:dyDescent="0.35">
      <c r="A119" s="26">
        <v>45452</v>
      </c>
      <c r="B119" s="6">
        <v>1488.9</v>
      </c>
      <c r="C119" s="6">
        <v>23465.599999999999</v>
      </c>
      <c r="D119" s="8">
        <f t="shared" si="5"/>
        <v>-2.8577020943433173E-2</v>
      </c>
      <c r="E119" s="8">
        <f t="shared" si="4"/>
        <v>-1.5105675904532045E-3</v>
      </c>
    </row>
    <row r="120" spans="1:5" x14ac:dyDescent="0.35">
      <c r="A120" s="26">
        <v>45445</v>
      </c>
      <c r="B120" s="6">
        <v>1533.6</v>
      </c>
      <c r="C120" s="6">
        <v>23290.15</v>
      </c>
      <c r="D120" s="8">
        <f t="shared" si="5"/>
        <v>3.002216401370128E-2</v>
      </c>
      <c r="E120" s="8">
        <f t="shared" si="4"/>
        <v>-7.4769023591980677E-3</v>
      </c>
    </row>
    <row r="121" spans="1:5" x14ac:dyDescent="0.35">
      <c r="A121" s="26">
        <v>45438</v>
      </c>
      <c r="B121" s="6">
        <v>1406.9</v>
      </c>
      <c r="C121" s="6">
        <v>22530.7</v>
      </c>
      <c r="D121" s="8">
        <f t="shared" si="5"/>
        <v>-8.2616066770996199E-2</v>
      </c>
      <c r="E121" s="8">
        <f t="shared" si="4"/>
        <v>-3.2608205614820029E-2</v>
      </c>
    </row>
    <row r="122" spans="1:5" x14ac:dyDescent="0.35">
      <c r="A122" s="26">
        <v>45431</v>
      </c>
      <c r="B122" s="6">
        <v>1456.89</v>
      </c>
      <c r="C122" s="6">
        <v>22957.1</v>
      </c>
      <c r="D122" s="8">
        <f t="shared" si="5"/>
        <v>3.5532020754851068E-2</v>
      </c>
      <c r="E122" s="8">
        <f t="shared" si="4"/>
        <v>1.8925288606212787E-2</v>
      </c>
    </row>
    <row r="123" spans="1:5" x14ac:dyDescent="0.35">
      <c r="A123" s="26">
        <v>45424</v>
      </c>
      <c r="B123" s="6">
        <v>1436.21</v>
      </c>
      <c r="C123" s="6">
        <v>22466.1</v>
      </c>
      <c r="D123" s="8">
        <f t="shared" si="5"/>
        <v>-1.4194620046812045E-2</v>
      </c>
      <c r="E123" s="8">
        <f t="shared" si="4"/>
        <v>-2.1387718832082458E-2</v>
      </c>
    </row>
    <row r="124" spans="1:5" x14ac:dyDescent="0.35">
      <c r="A124" s="26">
        <v>45417</v>
      </c>
      <c r="B124" s="6">
        <v>1416.92</v>
      </c>
      <c r="C124" s="6">
        <v>22055.200000000001</v>
      </c>
      <c r="D124" s="8">
        <f t="shared" si="5"/>
        <v>-1.343118346202854E-2</v>
      </c>
      <c r="E124" s="8">
        <f t="shared" si="4"/>
        <v>-1.8289778822314418E-2</v>
      </c>
    </row>
    <row r="125" spans="1:5" x14ac:dyDescent="0.35">
      <c r="A125" s="26">
        <v>45410</v>
      </c>
      <c r="B125" s="6">
        <v>1408.36</v>
      </c>
      <c r="C125" s="6">
        <v>22475.85</v>
      </c>
      <c r="D125" s="8">
        <f t="shared" si="5"/>
        <v>-6.0412726194846167E-3</v>
      </c>
      <c r="E125" s="8">
        <f t="shared" si="4"/>
        <v>1.9072599659037293E-2</v>
      </c>
    </row>
    <row r="126" spans="1:5" x14ac:dyDescent="0.35">
      <c r="A126" s="26">
        <v>45403</v>
      </c>
      <c r="B126" s="6">
        <v>1422.23</v>
      </c>
      <c r="C126" s="6">
        <v>22419.95</v>
      </c>
      <c r="D126" s="8">
        <f t="shared" si="5"/>
        <v>9.848334232724687E-3</v>
      </c>
      <c r="E126" s="8">
        <f t="shared" si="4"/>
        <v>-2.4871139467471659E-3</v>
      </c>
    </row>
    <row r="127" spans="1:5" x14ac:dyDescent="0.35">
      <c r="A127" s="26">
        <v>45396</v>
      </c>
      <c r="B127" s="6">
        <v>1403.34</v>
      </c>
      <c r="C127" s="6">
        <v>22147</v>
      </c>
      <c r="D127" s="8">
        <f t="shared" si="5"/>
        <v>-1.3281958614288936E-2</v>
      </c>
      <c r="E127" s="8">
        <f t="shared" si="4"/>
        <v>-1.2174425009868428E-2</v>
      </c>
    </row>
    <row r="128" spans="1:5" x14ac:dyDescent="0.35">
      <c r="A128" s="26">
        <v>45389</v>
      </c>
      <c r="B128" s="6">
        <v>1476.43</v>
      </c>
      <c r="C128" s="6">
        <v>22519.4</v>
      </c>
      <c r="D128" s="8">
        <f t="shared" si="5"/>
        <v>5.2082887967278113E-2</v>
      </c>
      <c r="E128" s="8">
        <f t="shared" si="4"/>
        <v>1.6814918499119536E-2</v>
      </c>
    </row>
    <row r="129" spans="1:5" x14ac:dyDescent="0.35">
      <c r="A129" s="26">
        <v>45382</v>
      </c>
      <c r="B129" s="6">
        <v>1470.81</v>
      </c>
      <c r="C129" s="6">
        <v>22513.7</v>
      </c>
      <c r="D129" s="8">
        <f t="shared" si="5"/>
        <v>-3.8064791422554034E-3</v>
      </c>
      <c r="E129" s="8">
        <f t="shared" si="4"/>
        <v>-2.5311509187642134E-4</v>
      </c>
    </row>
    <row r="130" spans="1:5" x14ac:dyDescent="0.35">
      <c r="A130" s="26">
        <v>45375</v>
      </c>
      <c r="B130" s="6">
        <v>1489.66</v>
      </c>
      <c r="C130" s="6">
        <v>22326.9</v>
      </c>
      <c r="D130" s="8">
        <f t="shared" si="5"/>
        <v>1.2816067337045656E-2</v>
      </c>
      <c r="E130" s="8">
        <f t="shared" si="4"/>
        <v>-8.2971701674979803E-3</v>
      </c>
    </row>
    <row r="131" spans="1:5" x14ac:dyDescent="0.35">
      <c r="A131" s="26">
        <v>45368</v>
      </c>
      <c r="B131" s="6">
        <v>1500.39</v>
      </c>
      <c r="C131" s="6">
        <v>22096.75</v>
      </c>
      <c r="D131" s="8">
        <f t="shared" si="5"/>
        <v>7.2029859162494603E-3</v>
      </c>
      <c r="E131" s="8">
        <f t="shared" si="4"/>
        <v>-1.0308193255669229E-2</v>
      </c>
    </row>
    <row r="132" spans="1:5" x14ac:dyDescent="0.35">
      <c r="A132" s="26">
        <v>45361</v>
      </c>
      <c r="B132" s="6">
        <v>1624.84</v>
      </c>
      <c r="C132" s="6">
        <v>22023.35</v>
      </c>
      <c r="D132" s="8">
        <f t="shared" si="5"/>
        <v>8.2945100940422067E-2</v>
      </c>
      <c r="E132" s="8">
        <f t="shared" si="4"/>
        <v>-3.3217554617761547E-3</v>
      </c>
    </row>
    <row r="133" spans="1:5" x14ac:dyDescent="0.35">
      <c r="A133" s="26">
        <v>45354</v>
      </c>
      <c r="B133" s="6">
        <v>1607.39</v>
      </c>
      <c r="C133" s="6">
        <v>22493.55</v>
      </c>
      <c r="D133" s="8">
        <f t="shared" si="5"/>
        <v>-1.0739518968021389E-2</v>
      </c>
      <c r="E133" s="8">
        <f t="shared" si="4"/>
        <v>2.1350067087886337E-2</v>
      </c>
    </row>
    <row r="134" spans="1:5" x14ac:dyDescent="0.35">
      <c r="A134" s="26">
        <v>45347</v>
      </c>
      <c r="B134" s="6">
        <v>1645.43</v>
      </c>
      <c r="C134" s="6">
        <v>22338.75</v>
      </c>
      <c r="D134" s="8">
        <f t="shared" si="5"/>
        <v>2.3665694075488908E-2</v>
      </c>
      <c r="E134" s="8">
        <f t="shared" si="4"/>
        <v>-6.8819728322118134E-3</v>
      </c>
    </row>
    <row r="135" spans="1:5" x14ac:dyDescent="0.35">
      <c r="A135" s="26">
        <v>45340</v>
      </c>
      <c r="B135" s="6">
        <v>1667.45</v>
      </c>
      <c r="C135" s="6">
        <v>22212.7</v>
      </c>
      <c r="D135" s="8">
        <f t="shared" si="5"/>
        <v>1.3382520070741366E-2</v>
      </c>
      <c r="E135" s="8">
        <f t="shared" si="4"/>
        <v>-5.6426612948351496E-3</v>
      </c>
    </row>
    <row r="136" spans="1:5" x14ac:dyDescent="0.35">
      <c r="A136" s="26">
        <v>45333</v>
      </c>
      <c r="B136" s="6">
        <v>1692.11</v>
      </c>
      <c r="C136" s="6">
        <v>22040.7</v>
      </c>
      <c r="D136" s="8">
        <f t="shared" si="5"/>
        <v>1.4789049146900934E-2</v>
      </c>
      <c r="E136" s="8">
        <f t="shared" si="4"/>
        <v>-7.7433180117680855E-3</v>
      </c>
    </row>
    <row r="137" spans="1:5" x14ac:dyDescent="0.35">
      <c r="A137" s="26">
        <v>45326</v>
      </c>
      <c r="B137" s="6">
        <v>1659.99</v>
      </c>
      <c r="C137" s="6">
        <v>21782.5</v>
      </c>
      <c r="D137" s="8">
        <f t="shared" si="5"/>
        <v>-1.8982217468131446E-2</v>
      </c>
      <c r="E137" s="8">
        <f t="shared" si="4"/>
        <v>-1.1714691457167858E-2</v>
      </c>
    </row>
    <row r="138" spans="1:5" x14ac:dyDescent="0.35">
      <c r="A138" s="26">
        <v>45319</v>
      </c>
      <c r="B138" s="6">
        <v>1683.86</v>
      </c>
      <c r="C138" s="6">
        <v>21853.8</v>
      </c>
      <c r="D138" s="8">
        <f t="shared" si="5"/>
        <v>1.437960469641375E-2</v>
      </c>
      <c r="E138" s="8">
        <f t="shared" si="4"/>
        <v>3.273269826695735E-3</v>
      </c>
    </row>
    <row r="139" spans="1:5" x14ac:dyDescent="0.35">
      <c r="A139" s="26">
        <v>45312</v>
      </c>
      <c r="B139" s="6">
        <v>1659.75</v>
      </c>
      <c r="C139" s="6">
        <v>21352.6</v>
      </c>
      <c r="D139" s="8">
        <f t="shared" si="5"/>
        <v>-1.4318292494625351E-2</v>
      </c>
      <c r="E139" s="8">
        <f t="shared" si="4"/>
        <v>-2.2934226541837188E-2</v>
      </c>
    </row>
    <row r="140" spans="1:5" x14ac:dyDescent="0.35">
      <c r="A140" s="26">
        <v>45305</v>
      </c>
      <c r="B140" s="6">
        <v>1649.9</v>
      </c>
      <c r="C140" s="6">
        <v>21622.400000000001</v>
      </c>
      <c r="D140" s="8">
        <f t="shared" si="5"/>
        <v>-5.9346287091428529E-3</v>
      </c>
      <c r="E140" s="8">
        <f t="shared" si="4"/>
        <v>1.2635463596939234E-2</v>
      </c>
    </row>
    <row r="141" spans="1:5" x14ac:dyDescent="0.35">
      <c r="A141" s="26">
        <v>45298</v>
      </c>
      <c r="B141" s="6">
        <v>1603.71</v>
      </c>
      <c r="C141" s="6">
        <v>21894.55</v>
      </c>
      <c r="D141" s="8">
        <f t="shared" si="5"/>
        <v>-2.7995636099157561E-2</v>
      </c>
      <c r="E141" s="8">
        <f t="shared" si="4"/>
        <v>1.2586484386561958E-2</v>
      </c>
    </row>
    <row r="142" spans="1:5" x14ac:dyDescent="0.35">
      <c r="A142" s="26">
        <v>45291</v>
      </c>
      <c r="B142" s="6">
        <v>1523.96</v>
      </c>
      <c r="C142" s="6">
        <v>21710.799999999999</v>
      </c>
      <c r="D142" s="8">
        <f t="shared" si="5"/>
        <v>-4.9728442174707399E-2</v>
      </c>
      <c r="E142" s="8">
        <f t="shared" si="4"/>
        <v>-8.3924995033010097E-3</v>
      </c>
    </row>
    <row r="143" spans="1:5" x14ac:dyDescent="0.35">
      <c r="A143" s="26">
        <v>45284</v>
      </c>
      <c r="B143" s="6">
        <v>1534.25</v>
      </c>
      <c r="C143" s="6">
        <v>21731.4</v>
      </c>
      <c r="D143" s="8">
        <f t="shared" si="5"/>
        <v>6.7521457256096706E-3</v>
      </c>
      <c r="E143" s="8">
        <f t="shared" si="4"/>
        <v>9.4883652375776784E-4</v>
      </c>
    </row>
    <row r="144" spans="1:5" x14ac:dyDescent="0.35">
      <c r="A144" s="26">
        <v>45277</v>
      </c>
      <c r="B144" s="6">
        <v>1554.14</v>
      </c>
      <c r="C144" s="6">
        <v>21349.4</v>
      </c>
      <c r="D144" s="8">
        <f t="shared" si="5"/>
        <v>1.2963988919667546E-2</v>
      </c>
      <c r="E144" s="8">
        <f t="shared" si="4"/>
        <v>-1.7578250825993735E-2</v>
      </c>
    </row>
    <row r="145" spans="1:5" x14ac:dyDescent="0.35">
      <c r="A145" s="26">
        <v>45270</v>
      </c>
      <c r="B145" s="6">
        <v>1569.56</v>
      </c>
      <c r="C145" s="6">
        <v>21456.65</v>
      </c>
      <c r="D145" s="8">
        <f t="shared" si="5"/>
        <v>9.9218860591709923E-3</v>
      </c>
      <c r="E145" s="8">
        <f t="shared" si="4"/>
        <v>5.023560381087977E-3</v>
      </c>
    </row>
    <row r="146" spans="1:5" x14ac:dyDescent="0.35">
      <c r="A146" s="26">
        <v>45263</v>
      </c>
      <c r="B146" s="6">
        <v>1482.79</v>
      </c>
      <c r="C146" s="6">
        <v>20969.400000000001</v>
      </c>
      <c r="D146" s="8">
        <f t="shared" si="5"/>
        <v>-5.528300925100027E-2</v>
      </c>
      <c r="E146" s="8">
        <f t="shared" si="4"/>
        <v>-2.2708577527246754E-2</v>
      </c>
    </row>
    <row r="147" spans="1:5" x14ac:dyDescent="0.35">
      <c r="A147" s="26">
        <v>45256</v>
      </c>
      <c r="B147" s="6">
        <v>1444.16</v>
      </c>
      <c r="C147" s="6">
        <v>20267.900000000001</v>
      </c>
      <c r="D147" s="8">
        <f t="shared" si="5"/>
        <v>-2.6052239359585561E-2</v>
      </c>
      <c r="E147" s="8">
        <f t="shared" si="4"/>
        <v>-3.3453508445639879E-2</v>
      </c>
    </row>
    <row r="148" spans="1:5" x14ac:dyDescent="0.35">
      <c r="A148" s="26">
        <v>45249</v>
      </c>
      <c r="B148" s="6">
        <v>1429.34</v>
      </c>
      <c r="C148" s="6">
        <v>19794.7</v>
      </c>
      <c r="D148" s="8">
        <f t="shared" si="5"/>
        <v>-1.0262020828717189E-2</v>
      </c>
      <c r="E148" s="8">
        <f t="shared" si="4"/>
        <v>-2.3347263406667706E-2</v>
      </c>
    </row>
    <row r="149" spans="1:5" x14ac:dyDescent="0.35">
      <c r="A149" s="26">
        <v>45242</v>
      </c>
      <c r="B149" s="6">
        <v>1429.49</v>
      </c>
      <c r="C149" s="6">
        <v>19731.8</v>
      </c>
      <c r="D149" s="8">
        <f t="shared" si="5"/>
        <v>1.0494354037526854E-4</v>
      </c>
      <c r="E149" s="8">
        <f t="shared" si="4"/>
        <v>-3.1776182513502116E-3</v>
      </c>
    </row>
    <row r="150" spans="1:5" x14ac:dyDescent="0.35">
      <c r="A150" s="26">
        <v>45235</v>
      </c>
      <c r="B150" s="6">
        <v>1361.18</v>
      </c>
      <c r="C150" s="6">
        <v>19425.349999999999</v>
      </c>
      <c r="D150" s="8">
        <f t="shared" si="5"/>
        <v>-4.7786273426186909E-2</v>
      </c>
      <c r="E150" s="8">
        <f t="shared" si="4"/>
        <v>-1.5530767593427863E-2</v>
      </c>
    </row>
    <row r="151" spans="1:5" x14ac:dyDescent="0.35">
      <c r="A151" s="26">
        <v>45228</v>
      </c>
      <c r="B151" s="6">
        <v>1381.27</v>
      </c>
      <c r="C151" s="6">
        <v>19230.599999999999</v>
      </c>
      <c r="D151" s="8">
        <f t="shared" si="5"/>
        <v>1.4759253001072503E-2</v>
      </c>
      <c r="E151" s="8">
        <f t="shared" si="4"/>
        <v>-1.0025559385030358E-2</v>
      </c>
    </row>
    <row r="152" spans="1:5" x14ac:dyDescent="0.35">
      <c r="A152" s="26">
        <v>45221</v>
      </c>
      <c r="B152" s="6">
        <v>1372.61</v>
      </c>
      <c r="C152" s="6">
        <v>19047.25</v>
      </c>
      <c r="D152" s="8">
        <f t="shared" si="5"/>
        <v>-6.2695924764890609E-3</v>
      </c>
      <c r="E152" s="8">
        <f t="shared" si="4"/>
        <v>-9.5342839016983039E-3</v>
      </c>
    </row>
    <row r="153" spans="1:5" x14ac:dyDescent="0.35">
      <c r="A153" s="26">
        <v>45214</v>
      </c>
      <c r="B153" s="6">
        <v>1419.25</v>
      </c>
      <c r="C153" s="6">
        <v>19542.650000000001</v>
      </c>
      <c r="D153" s="8">
        <f t="shared" si="5"/>
        <v>3.3979061787397846E-2</v>
      </c>
      <c r="E153" s="8">
        <f t="shared" si="4"/>
        <v>2.6009003924451157E-2</v>
      </c>
    </row>
    <row r="154" spans="1:5" x14ac:dyDescent="0.35">
      <c r="A154" s="26">
        <v>45207</v>
      </c>
      <c r="B154" s="6">
        <v>1423.13</v>
      </c>
      <c r="C154" s="6">
        <v>19751.05</v>
      </c>
      <c r="D154" s="8">
        <f t="shared" si="5"/>
        <v>2.7338382948740581E-3</v>
      </c>
      <c r="E154" s="8">
        <f t="shared" si="4"/>
        <v>1.0663855720692839E-2</v>
      </c>
    </row>
    <row r="155" spans="1:5" x14ac:dyDescent="0.35">
      <c r="A155" s="26">
        <v>45200</v>
      </c>
      <c r="B155" s="6">
        <v>1470.41</v>
      </c>
      <c r="C155" s="6">
        <v>19653.5</v>
      </c>
      <c r="D155" s="8">
        <f t="shared" si="5"/>
        <v>3.3222544672658172E-2</v>
      </c>
      <c r="E155" s="8">
        <f t="shared" si="4"/>
        <v>-4.9389779277556611E-3</v>
      </c>
    </row>
    <row r="156" spans="1:5" x14ac:dyDescent="0.35">
      <c r="A156" s="26">
        <v>45193</v>
      </c>
      <c r="B156" s="6">
        <v>1427.41</v>
      </c>
      <c r="C156" s="6">
        <v>19638.3</v>
      </c>
      <c r="D156" s="8">
        <f t="shared" si="5"/>
        <v>-2.9243544317571257E-2</v>
      </c>
      <c r="E156" s="8">
        <f t="shared" si="4"/>
        <v>-7.7339914010232658E-4</v>
      </c>
    </row>
    <row r="157" spans="1:5" x14ac:dyDescent="0.35">
      <c r="A157" s="26">
        <v>45186</v>
      </c>
      <c r="B157" s="6">
        <v>1487.77</v>
      </c>
      <c r="C157" s="6">
        <v>19674.25</v>
      </c>
      <c r="D157" s="8">
        <f t="shared" si="5"/>
        <v>4.2286378825985516E-2</v>
      </c>
      <c r="E157" s="8">
        <f t="shared" si="4"/>
        <v>1.8306065188942178E-3</v>
      </c>
    </row>
    <row r="158" spans="1:5" x14ac:dyDescent="0.35">
      <c r="A158" s="26">
        <v>45179</v>
      </c>
      <c r="B158" s="6">
        <v>1503.13</v>
      </c>
      <c r="C158" s="6">
        <v>20192.349999999999</v>
      </c>
      <c r="D158" s="8">
        <f t="shared" si="5"/>
        <v>1.0324176452005451E-2</v>
      </c>
      <c r="E158" s="8">
        <f t="shared" si="4"/>
        <v>2.6333913618054039E-2</v>
      </c>
    </row>
    <row r="159" spans="1:5" x14ac:dyDescent="0.35">
      <c r="A159" s="26">
        <v>45172</v>
      </c>
      <c r="B159" s="6">
        <v>1461.36</v>
      </c>
      <c r="C159" s="6">
        <v>19819.95</v>
      </c>
      <c r="D159" s="8">
        <f t="shared" si="5"/>
        <v>-2.7788680952412714E-2</v>
      </c>
      <c r="E159" s="8">
        <f t="shared" si="4"/>
        <v>-1.8442628024969765E-2</v>
      </c>
    </row>
    <row r="160" spans="1:5" x14ac:dyDescent="0.35">
      <c r="A160" s="26">
        <v>45165</v>
      </c>
      <c r="B160" s="6">
        <v>1435.76</v>
      </c>
      <c r="C160" s="6">
        <v>19435.3</v>
      </c>
      <c r="D160" s="8">
        <f t="shared" si="5"/>
        <v>-1.7517928504954261E-2</v>
      </c>
      <c r="E160" s="8">
        <f t="shared" si="4"/>
        <v>-1.940721343898455E-2</v>
      </c>
    </row>
    <row r="161" spans="1:5" x14ac:dyDescent="0.35">
      <c r="A161" s="26">
        <v>45158</v>
      </c>
      <c r="B161" s="6">
        <v>1412.14</v>
      </c>
      <c r="C161" s="6">
        <v>19265.8</v>
      </c>
      <c r="D161" s="8">
        <f t="shared" si="5"/>
        <v>-1.6451217473672397E-2</v>
      </c>
      <c r="E161" s="8">
        <f t="shared" si="4"/>
        <v>-8.7212443337638668E-3</v>
      </c>
    </row>
    <row r="162" spans="1:5" x14ac:dyDescent="0.35">
      <c r="A162" s="26">
        <v>45151</v>
      </c>
      <c r="B162" s="6">
        <v>1381.02</v>
      </c>
      <c r="C162" s="6">
        <v>19310.150000000001</v>
      </c>
      <c r="D162" s="8">
        <f t="shared" si="5"/>
        <v>-2.203747503788589E-2</v>
      </c>
      <c r="E162" s="8">
        <f t="shared" si="4"/>
        <v>2.3020066646597392E-3</v>
      </c>
    </row>
    <row r="163" spans="1:5" x14ac:dyDescent="0.35">
      <c r="A163" s="26">
        <v>45144</v>
      </c>
      <c r="B163" s="6">
        <v>1364.16</v>
      </c>
      <c r="C163" s="6">
        <v>19428.3</v>
      </c>
      <c r="D163" s="8">
        <f t="shared" si="5"/>
        <v>-1.2208367728200775E-2</v>
      </c>
      <c r="E163" s="8">
        <f t="shared" si="4"/>
        <v>6.1185438745943177E-3</v>
      </c>
    </row>
    <row r="164" spans="1:5" x14ac:dyDescent="0.35">
      <c r="A164" s="26">
        <v>45137</v>
      </c>
      <c r="B164" s="6">
        <v>1370.63</v>
      </c>
      <c r="C164" s="6">
        <v>19517</v>
      </c>
      <c r="D164" s="8">
        <f t="shared" si="5"/>
        <v>4.7428454140276965E-3</v>
      </c>
      <c r="E164" s="8">
        <f t="shared" si="4"/>
        <v>4.5655049592605579E-3</v>
      </c>
    </row>
    <row r="165" spans="1:5" x14ac:dyDescent="0.35">
      <c r="A165" s="26">
        <v>45130</v>
      </c>
      <c r="B165" s="6">
        <v>1332.99</v>
      </c>
      <c r="C165" s="6">
        <v>19646.05</v>
      </c>
      <c r="D165" s="8">
        <f t="shared" si="5"/>
        <v>-2.7461824124672685E-2</v>
      </c>
      <c r="E165" s="8">
        <f t="shared" si="4"/>
        <v>6.6121842496285055E-3</v>
      </c>
    </row>
    <row r="166" spans="1:5" x14ac:dyDescent="0.35">
      <c r="A166" s="26">
        <v>45123</v>
      </c>
      <c r="B166" s="6">
        <v>1324.14</v>
      </c>
      <c r="C166" s="6">
        <v>19745</v>
      </c>
      <c r="D166" s="8">
        <f t="shared" si="5"/>
        <v>-6.6392095964710185E-3</v>
      </c>
      <c r="E166" s="8">
        <f t="shared" si="4"/>
        <v>5.0366358631888097E-3</v>
      </c>
    </row>
    <row r="167" spans="1:5" x14ac:dyDescent="0.35">
      <c r="A167" s="26">
        <v>45116</v>
      </c>
      <c r="B167" s="6">
        <v>1417.96</v>
      </c>
      <c r="C167" s="6">
        <v>19564.5</v>
      </c>
      <c r="D167" s="8">
        <f t="shared" si="5"/>
        <v>7.0853535124684619E-2</v>
      </c>
      <c r="E167" s="8">
        <f t="shared" si="4"/>
        <v>-9.1415548240060263E-3</v>
      </c>
    </row>
    <row r="168" spans="1:5" x14ac:dyDescent="0.35">
      <c r="A168" s="26">
        <v>45109</v>
      </c>
      <c r="B168" s="6">
        <v>1322.75</v>
      </c>
      <c r="C168" s="6">
        <v>19331.8</v>
      </c>
      <c r="D168" s="8">
        <f t="shared" si="5"/>
        <v>-6.7145758695590918E-2</v>
      </c>
      <c r="E168" s="8">
        <f t="shared" si="4"/>
        <v>-1.1893991668583404E-2</v>
      </c>
    </row>
    <row r="169" spans="1:5" x14ac:dyDescent="0.35">
      <c r="A169" s="26">
        <v>45102</v>
      </c>
      <c r="B169" s="6">
        <v>1328.02</v>
      </c>
      <c r="C169" s="6">
        <v>19189.05</v>
      </c>
      <c r="D169" s="8">
        <f t="shared" si="5"/>
        <v>3.9841239841240661E-3</v>
      </c>
      <c r="E169" s="8">
        <f t="shared" si="4"/>
        <v>-7.3842063336058139E-3</v>
      </c>
    </row>
    <row r="170" spans="1:5" x14ac:dyDescent="0.35">
      <c r="A170" s="26">
        <v>45095</v>
      </c>
      <c r="B170" s="6">
        <v>1257.9100000000001</v>
      </c>
      <c r="C170" s="6">
        <v>18665.5</v>
      </c>
      <c r="D170" s="8">
        <f t="shared" si="5"/>
        <v>-5.2792879625306766E-2</v>
      </c>
      <c r="E170" s="8">
        <f t="shared" si="4"/>
        <v>-2.7283789452838936E-2</v>
      </c>
    </row>
    <row r="171" spans="1:5" x14ac:dyDescent="0.35">
      <c r="A171" s="26">
        <v>45088</v>
      </c>
      <c r="B171" s="6">
        <v>1284.4100000000001</v>
      </c>
      <c r="C171" s="6">
        <v>18826</v>
      </c>
      <c r="D171" s="8">
        <f t="shared" si="5"/>
        <v>2.1066689985770104E-2</v>
      </c>
      <c r="E171" s="8">
        <f t="shared" si="4"/>
        <v>8.598751707695973E-3</v>
      </c>
    </row>
    <row r="172" spans="1:5" x14ac:dyDescent="0.35">
      <c r="A172" s="26">
        <v>45081</v>
      </c>
      <c r="B172" s="6">
        <v>1258.8599999999999</v>
      </c>
      <c r="C172" s="6">
        <v>18563.400000000001</v>
      </c>
      <c r="D172" s="8">
        <f t="shared" si="5"/>
        <v>-1.9892401958876205E-2</v>
      </c>
      <c r="E172" s="8">
        <f t="shared" si="4"/>
        <v>-1.3948794220758454E-2</v>
      </c>
    </row>
    <row r="173" spans="1:5" x14ac:dyDescent="0.35">
      <c r="A173" s="26">
        <v>45074</v>
      </c>
      <c r="B173" s="6">
        <v>1291.72</v>
      </c>
      <c r="C173" s="6">
        <v>18534.099999999999</v>
      </c>
      <c r="D173" s="8">
        <f t="shared" si="5"/>
        <v>2.6102982063136659E-2</v>
      </c>
      <c r="E173" s="8">
        <f t="shared" si="4"/>
        <v>-1.5783746511954799E-3</v>
      </c>
    </row>
    <row r="174" spans="1:5" x14ac:dyDescent="0.35">
      <c r="A174" s="26">
        <v>45067</v>
      </c>
      <c r="B174" s="6">
        <v>1310.07</v>
      </c>
      <c r="C174" s="6">
        <v>18499.349999999999</v>
      </c>
      <c r="D174" s="8">
        <f t="shared" si="5"/>
        <v>1.4205865048152688E-2</v>
      </c>
      <c r="E174" s="8">
        <f t="shared" ref="E174:E237" si="6">C174/C173-1</f>
        <v>-1.874922440258775E-3</v>
      </c>
    </row>
    <row r="175" spans="1:5" x14ac:dyDescent="0.35">
      <c r="A175" s="26">
        <v>45060</v>
      </c>
      <c r="B175" s="6">
        <v>1261.79</v>
      </c>
      <c r="C175" s="6">
        <v>18203.400000000001</v>
      </c>
      <c r="D175" s="8">
        <f t="shared" ref="D175:D238" si="7">B175/B174-1</f>
        <v>-3.6852992588182309E-2</v>
      </c>
      <c r="E175" s="8">
        <f t="shared" si="6"/>
        <v>-1.599785938424847E-2</v>
      </c>
    </row>
    <row r="176" spans="1:5" x14ac:dyDescent="0.35">
      <c r="A176" s="26">
        <v>45053</v>
      </c>
      <c r="B176" s="6">
        <v>1238.22</v>
      </c>
      <c r="C176" s="6">
        <v>18314.8</v>
      </c>
      <c r="D176" s="8">
        <f t="shared" si="7"/>
        <v>-1.8679812013092434E-2</v>
      </c>
      <c r="E176" s="8">
        <f t="shared" si="6"/>
        <v>6.1197358735181062E-3</v>
      </c>
    </row>
    <row r="177" spans="1:5" x14ac:dyDescent="0.35">
      <c r="A177" s="26">
        <v>45046</v>
      </c>
      <c r="B177" s="6">
        <v>1252.04</v>
      </c>
      <c r="C177" s="6">
        <v>18069</v>
      </c>
      <c r="D177" s="8">
        <f t="shared" si="7"/>
        <v>1.1161182988483453E-2</v>
      </c>
      <c r="E177" s="8">
        <f t="shared" si="6"/>
        <v>-1.3420839976412524E-2</v>
      </c>
    </row>
    <row r="178" spans="1:5" x14ac:dyDescent="0.35">
      <c r="A178" s="26">
        <v>45039</v>
      </c>
      <c r="B178" s="6">
        <v>1245.73</v>
      </c>
      <c r="C178" s="6">
        <v>18065</v>
      </c>
      <c r="D178" s="8">
        <f t="shared" si="7"/>
        <v>-5.039775087057885E-3</v>
      </c>
      <c r="E178" s="8">
        <f t="shared" si="6"/>
        <v>-2.2137362333274346E-4</v>
      </c>
    </row>
    <row r="179" spans="1:5" x14ac:dyDescent="0.35">
      <c r="A179" s="26">
        <v>45032</v>
      </c>
      <c r="B179" s="6">
        <v>1220.47</v>
      </c>
      <c r="C179" s="6">
        <v>17624.05</v>
      </c>
      <c r="D179" s="8">
        <f t="shared" si="7"/>
        <v>-2.0277267144565791E-2</v>
      </c>
      <c r="E179" s="8">
        <f t="shared" si="6"/>
        <v>-2.4409078328259115E-2</v>
      </c>
    </row>
    <row r="180" spans="1:5" x14ac:dyDescent="0.35">
      <c r="A180" s="26">
        <v>45025</v>
      </c>
      <c r="B180" s="6">
        <v>1381.42</v>
      </c>
      <c r="C180" s="6">
        <v>17828</v>
      </c>
      <c r="D180" s="8">
        <f t="shared" si="7"/>
        <v>0.13187542504117267</v>
      </c>
      <c r="E180" s="8">
        <f t="shared" si="6"/>
        <v>1.15722549584234E-2</v>
      </c>
    </row>
    <row r="181" spans="1:5" x14ac:dyDescent="0.35">
      <c r="A181" s="26">
        <v>45018</v>
      </c>
      <c r="B181" s="6">
        <v>1413.93</v>
      </c>
      <c r="C181" s="6">
        <v>17599.150000000001</v>
      </c>
      <c r="D181" s="8">
        <f t="shared" si="7"/>
        <v>2.3533755121541544E-2</v>
      </c>
      <c r="E181" s="8">
        <f t="shared" si="6"/>
        <v>-1.2836549248373297E-2</v>
      </c>
    </row>
    <row r="182" spans="1:5" x14ac:dyDescent="0.35">
      <c r="A182" s="26">
        <v>45011</v>
      </c>
      <c r="B182" s="6">
        <v>1419.95</v>
      </c>
      <c r="C182" s="6">
        <v>17359.75</v>
      </c>
      <c r="D182" s="8">
        <f t="shared" si="7"/>
        <v>4.2576365166593355E-3</v>
      </c>
      <c r="E182" s="8">
        <f t="shared" si="6"/>
        <v>-1.3602929686945209E-2</v>
      </c>
    </row>
    <row r="183" spans="1:5" x14ac:dyDescent="0.35">
      <c r="A183" s="26">
        <v>45004</v>
      </c>
      <c r="B183" s="6">
        <v>1372.91</v>
      </c>
      <c r="C183" s="6">
        <v>16945.05</v>
      </c>
      <c r="D183" s="8">
        <f t="shared" si="7"/>
        <v>-3.3127927039684479E-2</v>
      </c>
      <c r="E183" s="8">
        <f t="shared" si="6"/>
        <v>-2.388859286568068E-2</v>
      </c>
    </row>
    <row r="184" spans="1:5" x14ac:dyDescent="0.35">
      <c r="A184" s="26">
        <v>44997</v>
      </c>
      <c r="B184" s="6">
        <v>1412.74</v>
      </c>
      <c r="C184" s="6">
        <v>17100.05</v>
      </c>
      <c r="D184" s="8">
        <f t="shared" si="7"/>
        <v>2.9011370009687454E-2</v>
      </c>
      <c r="E184" s="8">
        <f t="shared" si="6"/>
        <v>9.1472140831687643E-3</v>
      </c>
    </row>
    <row r="185" spans="1:5" x14ac:dyDescent="0.35">
      <c r="A185" s="26">
        <v>44990</v>
      </c>
      <c r="B185" s="6">
        <v>1463.3</v>
      </c>
      <c r="C185" s="6">
        <v>17412.900000000001</v>
      </c>
      <c r="D185" s="8">
        <f t="shared" si="7"/>
        <v>3.5788609369027613E-2</v>
      </c>
      <c r="E185" s="8">
        <f t="shared" si="6"/>
        <v>1.829526814249105E-2</v>
      </c>
    </row>
    <row r="186" spans="1:5" x14ac:dyDescent="0.35">
      <c r="A186" s="26">
        <v>44983</v>
      </c>
      <c r="B186" s="6">
        <v>1471.01</v>
      </c>
      <c r="C186" s="6">
        <v>17594.349999999999</v>
      </c>
      <c r="D186" s="8">
        <f t="shared" si="7"/>
        <v>5.2689127314973216E-3</v>
      </c>
      <c r="E186" s="8">
        <f t="shared" si="6"/>
        <v>1.0420435424311592E-2</v>
      </c>
    </row>
    <row r="187" spans="1:5" x14ac:dyDescent="0.35">
      <c r="A187" s="26">
        <v>44976</v>
      </c>
      <c r="B187" s="6">
        <v>1541.96</v>
      </c>
      <c r="C187" s="6">
        <v>17465.8</v>
      </c>
      <c r="D187" s="8">
        <f t="shared" si="7"/>
        <v>4.8232167014500282E-2</v>
      </c>
      <c r="E187" s="8">
        <f t="shared" si="6"/>
        <v>-7.3063227683887177E-3</v>
      </c>
    </row>
    <row r="188" spans="1:5" x14ac:dyDescent="0.35">
      <c r="A188" s="26">
        <v>44969</v>
      </c>
      <c r="B188" s="6">
        <v>1574.92</v>
      </c>
      <c r="C188" s="6">
        <v>17944.2</v>
      </c>
      <c r="D188" s="8">
        <f t="shared" si="7"/>
        <v>2.1375392357778411E-2</v>
      </c>
      <c r="E188" s="8">
        <f t="shared" si="6"/>
        <v>2.7390672056247123E-2</v>
      </c>
    </row>
    <row r="189" spans="1:5" x14ac:dyDescent="0.35">
      <c r="A189" s="26">
        <v>44962</v>
      </c>
      <c r="B189" s="6">
        <v>1599.54</v>
      </c>
      <c r="C189" s="6">
        <v>17856.5</v>
      </c>
      <c r="D189" s="8">
        <f t="shared" si="7"/>
        <v>1.5632540065527056E-2</v>
      </c>
      <c r="E189" s="8">
        <f t="shared" si="6"/>
        <v>-4.8873730787664105E-3</v>
      </c>
    </row>
    <row r="190" spans="1:5" x14ac:dyDescent="0.35">
      <c r="A190" s="26">
        <v>44955</v>
      </c>
      <c r="B190" s="6">
        <v>1590.44</v>
      </c>
      <c r="C190" s="6">
        <v>17854.05</v>
      </c>
      <c r="D190" s="8">
        <f t="shared" si="7"/>
        <v>-5.6891356264925363E-3</v>
      </c>
      <c r="E190" s="8">
        <f t="shared" si="6"/>
        <v>-1.3720493937785516E-4</v>
      </c>
    </row>
    <row r="191" spans="1:5" x14ac:dyDescent="0.35">
      <c r="A191" s="26">
        <v>44948</v>
      </c>
      <c r="B191" s="6">
        <v>1510.64</v>
      </c>
      <c r="C191" s="6">
        <v>17604.349999999999</v>
      </c>
      <c r="D191" s="8">
        <f t="shared" si="7"/>
        <v>-5.0174794396519173E-2</v>
      </c>
      <c r="E191" s="8">
        <f t="shared" si="6"/>
        <v>-1.3985622309784063E-2</v>
      </c>
    </row>
    <row r="192" spans="1:5" x14ac:dyDescent="0.35">
      <c r="A192" s="26">
        <v>44941</v>
      </c>
      <c r="B192" s="6">
        <v>1517</v>
      </c>
      <c r="C192" s="6">
        <v>18027.650000000001</v>
      </c>
      <c r="D192" s="8">
        <f t="shared" si="7"/>
        <v>4.2101361012549798E-3</v>
      </c>
      <c r="E192" s="8">
        <f t="shared" si="6"/>
        <v>2.4045193375501039E-2</v>
      </c>
    </row>
    <row r="193" spans="1:5" x14ac:dyDescent="0.35">
      <c r="A193" s="26">
        <v>44934</v>
      </c>
      <c r="B193" s="6">
        <v>1495.22</v>
      </c>
      <c r="C193" s="6">
        <v>17956.599999999999</v>
      </c>
      <c r="D193" s="8">
        <f t="shared" si="7"/>
        <v>-1.4357284113381663E-2</v>
      </c>
      <c r="E193" s="8">
        <f t="shared" si="6"/>
        <v>-3.9411681500363116E-3</v>
      </c>
    </row>
    <row r="194" spans="1:5" x14ac:dyDescent="0.35">
      <c r="A194" s="26">
        <v>44927</v>
      </c>
      <c r="B194" s="6">
        <v>1440.38</v>
      </c>
      <c r="C194" s="6">
        <v>17859.45</v>
      </c>
      <c r="D194" s="8">
        <f t="shared" si="7"/>
        <v>-3.6676876981313722E-2</v>
      </c>
      <c r="E194" s="8">
        <f t="shared" si="6"/>
        <v>-5.4102669770444978E-3</v>
      </c>
    </row>
    <row r="195" spans="1:5" x14ac:dyDescent="0.35">
      <c r="A195" s="26">
        <v>44920</v>
      </c>
      <c r="B195" s="6">
        <v>1499.75</v>
      </c>
      <c r="C195" s="6">
        <v>18105.3</v>
      </c>
      <c r="D195" s="8">
        <f t="shared" si="7"/>
        <v>4.1218289618017323E-2</v>
      </c>
      <c r="E195" s="8">
        <f t="shared" si="6"/>
        <v>1.3765821455867799E-2</v>
      </c>
    </row>
    <row r="196" spans="1:5" x14ac:dyDescent="0.35">
      <c r="A196" s="26">
        <v>44913</v>
      </c>
      <c r="B196" s="6">
        <v>1488.71</v>
      </c>
      <c r="C196" s="6">
        <v>17806.8</v>
      </c>
      <c r="D196" s="8">
        <f t="shared" si="7"/>
        <v>-7.3612268711451545E-3</v>
      </c>
      <c r="E196" s="8">
        <f t="shared" si="6"/>
        <v>-1.6486885055757128E-2</v>
      </c>
    </row>
    <row r="197" spans="1:5" x14ac:dyDescent="0.35">
      <c r="A197" s="26">
        <v>44906</v>
      </c>
      <c r="B197" s="6">
        <v>1513.67</v>
      </c>
      <c r="C197" s="6">
        <v>18269</v>
      </c>
      <c r="D197" s="8">
        <f t="shared" si="7"/>
        <v>1.6766193550120656E-2</v>
      </c>
      <c r="E197" s="8">
        <f t="shared" si="6"/>
        <v>2.5956376215827692E-2</v>
      </c>
    </row>
    <row r="198" spans="1:5" x14ac:dyDescent="0.35">
      <c r="A198" s="26">
        <v>44899</v>
      </c>
      <c r="B198" s="6">
        <v>1560.51</v>
      </c>
      <c r="C198" s="6">
        <v>18496.599999999999</v>
      </c>
      <c r="D198" s="8">
        <f t="shared" si="7"/>
        <v>3.0944657686285515E-2</v>
      </c>
      <c r="E198" s="8">
        <f t="shared" si="6"/>
        <v>1.2458262630685724E-2</v>
      </c>
    </row>
    <row r="199" spans="1:5" x14ac:dyDescent="0.35">
      <c r="A199" s="26">
        <v>44892</v>
      </c>
      <c r="B199" s="6">
        <v>1628.72</v>
      </c>
      <c r="C199" s="6">
        <v>18696.099999999999</v>
      </c>
      <c r="D199" s="8">
        <f t="shared" si="7"/>
        <v>4.3710069144061947E-2</v>
      </c>
      <c r="E199" s="8">
        <f t="shared" si="6"/>
        <v>1.0785766032676225E-2</v>
      </c>
    </row>
    <row r="200" spans="1:5" x14ac:dyDescent="0.35">
      <c r="A200" s="26">
        <v>44885</v>
      </c>
      <c r="B200" s="6">
        <v>1626.48</v>
      </c>
      <c r="C200" s="6">
        <v>18512.75</v>
      </c>
      <c r="D200" s="8">
        <f t="shared" si="7"/>
        <v>-1.3753131293285925E-3</v>
      </c>
      <c r="E200" s="8">
        <f t="shared" si="6"/>
        <v>-9.8068581147938705E-3</v>
      </c>
    </row>
    <row r="201" spans="1:5" x14ac:dyDescent="0.35">
      <c r="A201" s="26">
        <v>44878</v>
      </c>
      <c r="B201" s="6">
        <v>1584.47</v>
      </c>
      <c r="C201" s="6">
        <v>18307.650000000001</v>
      </c>
      <c r="D201" s="8">
        <f t="shared" si="7"/>
        <v>-2.5828783630908458E-2</v>
      </c>
      <c r="E201" s="8">
        <f t="shared" si="6"/>
        <v>-1.1078851062105821E-2</v>
      </c>
    </row>
    <row r="202" spans="1:5" x14ac:dyDescent="0.35">
      <c r="A202" s="26">
        <v>44871</v>
      </c>
      <c r="B202" s="6">
        <v>1561.3</v>
      </c>
      <c r="C202" s="6">
        <v>18349.7</v>
      </c>
      <c r="D202" s="8">
        <f t="shared" si="7"/>
        <v>-1.4623186302044289E-2</v>
      </c>
      <c r="E202" s="8">
        <f t="shared" si="6"/>
        <v>2.296854047351804E-3</v>
      </c>
    </row>
    <row r="203" spans="1:5" x14ac:dyDescent="0.35">
      <c r="A203" s="26">
        <v>44864</v>
      </c>
      <c r="B203" s="6">
        <v>1505.52</v>
      </c>
      <c r="C203" s="6">
        <v>18117.150000000001</v>
      </c>
      <c r="D203" s="8">
        <f t="shared" si="7"/>
        <v>-3.5726638058028559E-2</v>
      </c>
      <c r="E203" s="8">
        <f t="shared" si="6"/>
        <v>-1.2673231714959932E-2</v>
      </c>
    </row>
    <row r="204" spans="1:5" x14ac:dyDescent="0.35">
      <c r="A204" s="26">
        <v>44857</v>
      </c>
      <c r="B204" s="6">
        <v>1504.77</v>
      </c>
      <c r="C204" s="6">
        <v>17786.8</v>
      </c>
      <c r="D204" s="8">
        <f t="shared" si="7"/>
        <v>-4.981667463733741E-4</v>
      </c>
      <c r="E204" s="8">
        <f t="shared" si="6"/>
        <v>-1.8234104149935426E-2</v>
      </c>
    </row>
    <row r="205" spans="1:5" x14ac:dyDescent="0.35">
      <c r="A205" s="26">
        <v>44850</v>
      </c>
      <c r="B205" s="6">
        <v>1492.09</v>
      </c>
      <c r="C205" s="6">
        <v>17576.3</v>
      </c>
      <c r="D205" s="8">
        <f t="shared" si="7"/>
        <v>-8.4265369458456085E-3</v>
      </c>
      <c r="E205" s="8">
        <f t="shared" si="6"/>
        <v>-1.1834618930892549E-2</v>
      </c>
    </row>
    <row r="206" spans="1:5" x14ac:dyDescent="0.35">
      <c r="A206" s="26">
        <v>44843</v>
      </c>
      <c r="B206" s="6">
        <v>1465.99</v>
      </c>
      <c r="C206" s="6">
        <v>17185.7</v>
      </c>
      <c r="D206" s="8">
        <f t="shared" si="7"/>
        <v>-1.749224242505476E-2</v>
      </c>
      <c r="E206" s="8">
        <f t="shared" si="6"/>
        <v>-2.2223107252379526E-2</v>
      </c>
    </row>
    <row r="207" spans="1:5" x14ac:dyDescent="0.35">
      <c r="A207" s="26">
        <v>44836</v>
      </c>
      <c r="B207" s="6">
        <v>1443.07</v>
      </c>
      <c r="C207" s="6">
        <v>17314.650000000001</v>
      </c>
      <c r="D207" s="8">
        <f t="shared" si="7"/>
        <v>-1.5634485910545171E-2</v>
      </c>
      <c r="E207" s="8">
        <f t="shared" si="6"/>
        <v>7.5033312579644296E-3</v>
      </c>
    </row>
    <row r="208" spans="1:5" x14ac:dyDescent="0.35">
      <c r="A208" s="26">
        <v>44829</v>
      </c>
      <c r="B208" s="6">
        <v>1405.53</v>
      </c>
      <c r="C208" s="6">
        <v>17094.349999999999</v>
      </c>
      <c r="D208" s="8">
        <f t="shared" si="7"/>
        <v>-2.6013984075616503E-2</v>
      </c>
      <c r="E208" s="8">
        <f t="shared" si="6"/>
        <v>-1.2723329665918937E-2</v>
      </c>
    </row>
    <row r="209" spans="1:5" x14ac:dyDescent="0.35">
      <c r="A209" s="26">
        <v>44822</v>
      </c>
      <c r="B209" s="6">
        <v>1357.8</v>
      </c>
      <c r="C209" s="6">
        <v>17327.349999999999</v>
      </c>
      <c r="D209" s="8">
        <f t="shared" si="7"/>
        <v>-3.3958720198074777E-2</v>
      </c>
      <c r="E209" s="8">
        <f t="shared" si="6"/>
        <v>1.3630234551182063E-2</v>
      </c>
    </row>
    <row r="210" spans="1:5" x14ac:dyDescent="0.35">
      <c r="A210" s="26">
        <v>44815</v>
      </c>
      <c r="B210" s="6">
        <v>1369.33</v>
      </c>
      <c r="C210" s="6">
        <v>17530.849999999999</v>
      </c>
      <c r="D210" s="8">
        <f t="shared" si="7"/>
        <v>8.4916777139489863E-3</v>
      </c>
      <c r="E210" s="8">
        <f t="shared" si="6"/>
        <v>1.1744438705283855E-2</v>
      </c>
    </row>
    <row r="211" spans="1:5" x14ac:dyDescent="0.35">
      <c r="A211" s="26">
        <v>44808</v>
      </c>
      <c r="B211" s="6">
        <v>1503.18</v>
      </c>
      <c r="C211" s="6">
        <v>17833.349999999999</v>
      </c>
      <c r="D211" s="8">
        <f t="shared" si="7"/>
        <v>9.7748533954561845E-2</v>
      </c>
      <c r="E211" s="8">
        <f t="shared" si="6"/>
        <v>1.7255295664500014E-2</v>
      </c>
    </row>
    <row r="212" spans="1:5" x14ac:dyDescent="0.35">
      <c r="A212" s="26">
        <v>44801</v>
      </c>
      <c r="B212" s="6">
        <v>1444.86</v>
      </c>
      <c r="C212" s="6">
        <v>17539.45</v>
      </c>
      <c r="D212" s="8">
        <f t="shared" si="7"/>
        <v>-3.8797748772602225E-2</v>
      </c>
      <c r="E212" s="8">
        <f t="shared" si="6"/>
        <v>-1.6480358429571407E-2</v>
      </c>
    </row>
    <row r="213" spans="1:5" x14ac:dyDescent="0.35">
      <c r="A213" s="26">
        <v>44794</v>
      </c>
      <c r="B213" s="6">
        <v>1513.02</v>
      </c>
      <c r="C213" s="6">
        <v>17558.900000000001</v>
      </c>
      <c r="D213" s="8">
        <f t="shared" si="7"/>
        <v>4.7174120676051645E-2</v>
      </c>
      <c r="E213" s="8">
        <f t="shared" si="6"/>
        <v>1.1089287292360694E-3</v>
      </c>
    </row>
    <row r="214" spans="1:5" x14ac:dyDescent="0.35">
      <c r="A214" s="26">
        <v>44787</v>
      </c>
      <c r="B214" s="6">
        <v>1588.15</v>
      </c>
      <c r="C214" s="6">
        <v>17758.45</v>
      </c>
      <c r="D214" s="8">
        <f t="shared" si="7"/>
        <v>4.9655655576264834E-2</v>
      </c>
      <c r="E214" s="8">
        <f t="shared" si="6"/>
        <v>1.1364607122313908E-2</v>
      </c>
    </row>
    <row r="215" spans="1:5" x14ac:dyDescent="0.35">
      <c r="A215" s="26">
        <v>44780</v>
      </c>
      <c r="B215" s="6">
        <v>1585.17</v>
      </c>
      <c r="C215" s="6">
        <v>17698.150000000001</v>
      </c>
      <c r="D215" s="8">
        <f t="shared" si="7"/>
        <v>-1.8763970657683648E-3</v>
      </c>
      <c r="E215" s="8">
        <f t="shared" si="6"/>
        <v>-3.3955666175820021E-3</v>
      </c>
    </row>
    <row r="216" spans="1:5" x14ac:dyDescent="0.35">
      <c r="A216" s="26">
        <v>44773</v>
      </c>
      <c r="B216" s="6">
        <v>1607.59</v>
      </c>
      <c r="C216" s="6">
        <v>17397.5</v>
      </c>
      <c r="D216" s="8">
        <f t="shared" si="7"/>
        <v>1.4143593431619195E-2</v>
      </c>
      <c r="E216" s="8">
        <f t="shared" si="6"/>
        <v>-1.6987651251684555E-2</v>
      </c>
    </row>
    <row r="217" spans="1:5" x14ac:dyDescent="0.35">
      <c r="A217" s="26">
        <v>44766</v>
      </c>
      <c r="B217" s="6">
        <v>1541.02</v>
      </c>
      <c r="C217" s="6">
        <v>17158.25</v>
      </c>
      <c r="D217" s="8">
        <f t="shared" si="7"/>
        <v>-4.1409812203360263E-2</v>
      </c>
      <c r="E217" s="8">
        <f t="shared" si="6"/>
        <v>-1.3751975858600329E-2</v>
      </c>
    </row>
    <row r="218" spans="1:5" x14ac:dyDescent="0.35">
      <c r="A218" s="26">
        <v>44759</v>
      </c>
      <c r="B218" s="6">
        <v>1497.86</v>
      </c>
      <c r="C218" s="6">
        <v>16719.45</v>
      </c>
      <c r="D218" s="8">
        <f t="shared" si="7"/>
        <v>-2.8007423654462738E-2</v>
      </c>
      <c r="E218" s="8">
        <f t="shared" si="6"/>
        <v>-2.5573703611965093E-2</v>
      </c>
    </row>
    <row r="219" spans="1:5" x14ac:dyDescent="0.35">
      <c r="A219" s="26">
        <v>44752</v>
      </c>
      <c r="B219" s="6">
        <v>1422.33</v>
      </c>
      <c r="C219" s="6">
        <v>16049.2</v>
      </c>
      <c r="D219" s="8">
        <f t="shared" si="7"/>
        <v>-5.042527339003644E-2</v>
      </c>
      <c r="E219" s="8">
        <f t="shared" si="6"/>
        <v>-4.0088041173603206E-2</v>
      </c>
    </row>
    <row r="220" spans="1:5" x14ac:dyDescent="0.35">
      <c r="A220" s="26">
        <v>44745</v>
      </c>
      <c r="B220" s="6">
        <v>1505.96</v>
      </c>
      <c r="C220" s="6">
        <v>16220.6</v>
      </c>
      <c r="D220" s="8">
        <f t="shared" si="7"/>
        <v>5.8797887972552143E-2</v>
      </c>
      <c r="E220" s="8">
        <f t="shared" si="6"/>
        <v>1.0679660045360473E-2</v>
      </c>
    </row>
    <row r="221" spans="1:5" x14ac:dyDescent="0.35">
      <c r="A221" s="26">
        <v>44738</v>
      </c>
      <c r="B221" s="6">
        <v>1471.11</v>
      </c>
      <c r="C221" s="6">
        <v>15752.05</v>
      </c>
      <c r="D221" s="8">
        <f t="shared" si="7"/>
        <v>-2.3141384897341299E-2</v>
      </c>
      <c r="E221" s="8">
        <f t="shared" si="6"/>
        <v>-2.8886107788861137E-2</v>
      </c>
    </row>
    <row r="222" spans="1:5" x14ac:dyDescent="0.35">
      <c r="A222" s="26">
        <v>44731</v>
      </c>
      <c r="B222" s="6">
        <v>1433.02</v>
      </c>
      <c r="C222" s="6">
        <v>15699.25</v>
      </c>
      <c r="D222" s="8">
        <f t="shared" si="7"/>
        <v>-2.5892013513605372E-2</v>
      </c>
      <c r="E222" s="8">
        <f t="shared" si="6"/>
        <v>-3.3519446675194242E-3</v>
      </c>
    </row>
    <row r="223" spans="1:5" x14ac:dyDescent="0.35">
      <c r="A223" s="26">
        <v>44724</v>
      </c>
      <c r="B223" s="6">
        <v>1379.53</v>
      </c>
      <c r="C223" s="6">
        <v>15293.5</v>
      </c>
      <c r="D223" s="8">
        <f t="shared" si="7"/>
        <v>-3.7326764455485661E-2</v>
      </c>
      <c r="E223" s="8">
        <f t="shared" si="6"/>
        <v>-2.5845183687118856E-2</v>
      </c>
    </row>
    <row r="224" spans="1:5" x14ac:dyDescent="0.35">
      <c r="A224" s="26">
        <v>44717</v>
      </c>
      <c r="B224" s="6">
        <v>1468.52</v>
      </c>
      <c r="C224" s="6">
        <v>16201.8</v>
      </c>
      <c r="D224" s="8">
        <f t="shared" si="7"/>
        <v>6.4507477184258422E-2</v>
      </c>
      <c r="E224" s="8">
        <f t="shared" si="6"/>
        <v>5.9391244646418428E-2</v>
      </c>
    </row>
    <row r="225" spans="1:5" x14ac:dyDescent="0.35">
      <c r="A225" s="26">
        <v>44710</v>
      </c>
      <c r="B225" s="6">
        <v>1513.17</v>
      </c>
      <c r="C225" s="6">
        <v>16584.3</v>
      </c>
      <c r="D225" s="8">
        <f t="shared" si="7"/>
        <v>3.0404761256230817E-2</v>
      </c>
      <c r="E225" s="8">
        <f t="shared" si="6"/>
        <v>2.3608487945783851E-2</v>
      </c>
    </row>
    <row r="226" spans="1:5" x14ac:dyDescent="0.35">
      <c r="A226" s="26">
        <v>44703</v>
      </c>
      <c r="B226" s="6">
        <v>1453.16</v>
      </c>
      <c r="C226" s="6">
        <v>16352.45</v>
      </c>
      <c r="D226" s="8">
        <f t="shared" si="7"/>
        <v>-3.9658465340972948E-2</v>
      </c>
      <c r="E226" s="8">
        <f t="shared" si="6"/>
        <v>-1.3980089602817047E-2</v>
      </c>
    </row>
    <row r="227" spans="1:5" x14ac:dyDescent="0.35">
      <c r="A227" s="26">
        <v>44696</v>
      </c>
      <c r="B227" s="6">
        <v>1446.99</v>
      </c>
      <c r="C227" s="6">
        <v>16266.15</v>
      </c>
      <c r="D227" s="8">
        <f t="shared" si="7"/>
        <v>-4.2459192380742694E-3</v>
      </c>
      <c r="E227" s="8">
        <f t="shared" si="6"/>
        <v>-5.2774966442338256E-3</v>
      </c>
    </row>
    <row r="228" spans="1:5" x14ac:dyDescent="0.35">
      <c r="A228" s="26">
        <v>44689</v>
      </c>
      <c r="B228" s="6">
        <v>1495.97</v>
      </c>
      <c r="C228" s="6">
        <v>15782.15</v>
      </c>
      <c r="D228" s="8">
        <f t="shared" si="7"/>
        <v>3.3849577398599839E-2</v>
      </c>
      <c r="E228" s="8">
        <f t="shared" si="6"/>
        <v>-2.975504344912594E-2</v>
      </c>
    </row>
    <row r="229" spans="1:5" x14ac:dyDescent="0.35">
      <c r="A229" s="26">
        <v>44682</v>
      </c>
      <c r="B229" s="6">
        <v>1534.2</v>
      </c>
      <c r="C229" s="6">
        <v>16411.25</v>
      </c>
      <c r="D229" s="8">
        <f t="shared" si="7"/>
        <v>2.5555325307325738E-2</v>
      </c>
      <c r="E229" s="8">
        <f t="shared" si="6"/>
        <v>3.9861489087354984E-2</v>
      </c>
    </row>
    <row r="230" spans="1:5" x14ac:dyDescent="0.35">
      <c r="A230" s="26">
        <v>44675</v>
      </c>
      <c r="B230" s="6">
        <v>1558.77</v>
      </c>
      <c r="C230" s="6">
        <v>17102.55</v>
      </c>
      <c r="D230" s="8">
        <f t="shared" si="7"/>
        <v>1.6014861165428274E-2</v>
      </c>
      <c r="E230" s="8">
        <f t="shared" si="6"/>
        <v>4.2123543301089139E-2</v>
      </c>
    </row>
    <row r="231" spans="1:5" x14ac:dyDescent="0.35">
      <c r="A231" s="26">
        <v>44668</v>
      </c>
      <c r="B231" s="6">
        <v>1576.56</v>
      </c>
      <c r="C231" s="6">
        <v>17171.95</v>
      </c>
      <c r="D231" s="8">
        <f t="shared" si="7"/>
        <v>1.141284474297044E-2</v>
      </c>
      <c r="E231" s="8">
        <f t="shared" si="6"/>
        <v>4.0578744105412845E-3</v>
      </c>
    </row>
    <row r="232" spans="1:5" x14ac:dyDescent="0.35">
      <c r="A232" s="26">
        <v>44661</v>
      </c>
      <c r="B232" s="6">
        <v>1738.75</v>
      </c>
      <c r="C232" s="6">
        <v>17475.650000000001</v>
      </c>
      <c r="D232" s="8">
        <f t="shared" si="7"/>
        <v>0.10287588166641304</v>
      </c>
      <c r="E232" s="8">
        <f t="shared" si="6"/>
        <v>1.7685819024630289E-2</v>
      </c>
    </row>
    <row r="233" spans="1:5" x14ac:dyDescent="0.35">
      <c r="A233" s="26">
        <v>44654</v>
      </c>
      <c r="B233" s="6">
        <v>1804.43</v>
      </c>
      <c r="C233" s="6">
        <v>17784.349999999999</v>
      </c>
      <c r="D233" s="8">
        <f t="shared" si="7"/>
        <v>3.7774263120057494E-2</v>
      </c>
      <c r="E233" s="8">
        <f t="shared" si="6"/>
        <v>1.7664578999922576E-2</v>
      </c>
    </row>
    <row r="234" spans="1:5" x14ac:dyDescent="0.35">
      <c r="A234" s="26">
        <v>44647</v>
      </c>
      <c r="B234" s="6">
        <v>1892.88</v>
      </c>
      <c r="C234" s="6">
        <v>17670.45</v>
      </c>
      <c r="D234" s="8">
        <f t="shared" si="7"/>
        <v>4.9018249530322633E-2</v>
      </c>
      <c r="E234" s="8">
        <f t="shared" si="6"/>
        <v>-6.4045073336949088E-3</v>
      </c>
    </row>
    <row r="235" spans="1:5" x14ac:dyDescent="0.35">
      <c r="A235" s="26">
        <v>44640</v>
      </c>
      <c r="B235" s="6">
        <v>1866.03</v>
      </c>
      <c r="C235" s="6">
        <v>17153</v>
      </c>
      <c r="D235" s="8">
        <f t="shared" si="7"/>
        <v>-1.4184734373018926E-2</v>
      </c>
      <c r="E235" s="8">
        <f t="shared" si="6"/>
        <v>-2.928335158414197E-2</v>
      </c>
    </row>
    <row r="236" spans="1:5" x14ac:dyDescent="0.35">
      <c r="A236" s="26">
        <v>44633</v>
      </c>
      <c r="B236" s="6">
        <v>1844.21</v>
      </c>
      <c r="C236" s="6">
        <v>17287.05</v>
      </c>
      <c r="D236" s="8">
        <f t="shared" si="7"/>
        <v>-1.1693273955938555E-2</v>
      </c>
      <c r="E236" s="8">
        <f t="shared" si="6"/>
        <v>7.8149594823062607E-3</v>
      </c>
    </row>
    <row r="237" spans="1:5" x14ac:dyDescent="0.35">
      <c r="A237" s="26">
        <v>44626</v>
      </c>
      <c r="B237" s="6">
        <v>1811.79</v>
      </c>
      <c r="C237" s="6">
        <v>16630.45</v>
      </c>
      <c r="D237" s="8">
        <f t="shared" si="7"/>
        <v>-1.7579342916479224E-2</v>
      </c>
      <c r="E237" s="8">
        <f t="shared" si="6"/>
        <v>-3.7982188979611808E-2</v>
      </c>
    </row>
    <row r="238" spans="1:5" x14ac:dyDescent="0.35">
      <c r="A238" s="26">
        <v>44619</v>
      </c>
      <c r="B238" s="6">
        <v>1713.64</v>
      </c>
      <c r="C238" s="6">
        <v>16245.35</v>
      </c>
      <c r="D238" s="8">
        <f t="shared" si="7"/>
        <v>-5.4172944988105654E-2</v>
      </c>
      <c r="E238" s="8">
        <f t="shared" ref="E238:E266" si="8">C238/C237-1</f>
        <v>-2.3156318680492727E-2</v>
      </c>
    </row>
    <row r="239" spans="1:5" x14ac:dyDescent="0.35">
      <c r="A239" s="26">
        <v>44612</v>
      </c>
      <c r="B239" s="6">
        <v>1685.1</v>
      </c>
      <c r="C239" s="6">
        <v>16658.400000000001</v>
      </c>
      <c r="D239" s="8">
        <f t="shared" ref="D239:D266" si="9">B239/B238-1</f>
        <v>-1.6654606568474284E-2</v>
      </c>
      <c r="E239" s="8">
        <f t="shared" si="8"/>
        <v>2.5425737210955868E-2</v>
      </c>
    </row>
    <row r="240" spans="1:5" x14ac:dyDescent="0.35">
      <c r="A240" s="26">
        <v>44605</v>
      </c>
      <c r="B240" s="6">
        <v>1697.38</v>
      </c>
      <c r="C240" s="6">
        <v>17276.3</v>
      </c>
      <c r="D240" s="8">
        <f t="shared" si="9"/>
        <v>7.2874013411667882E-3</v>
      </c>
      <c r="E240" s="8">
        <f t="shared" si="8"/>
        <v>3.7092397829323165E-2</v>
      </c>
    </row>
    <row r="241" spans="1:5" x14ac:dyDescent="0.35">
      <c r="A241" s="26">
        <v>44598</v>
      </c>
      <c r="B241" s="6">
        <v>1711.7</v>
      </c>
      <c r="C241" s="6">
        <v>17374.75</v>
      </c>
      <c r="D241" s="8">
        <f t="shared" si="9"/>
        <v>8.436531595753527E-3</v>
      </c>
      <c r="E241" s="8">
        <f t="shared" si="8"/>
        <v>5.6985581403425911E-3</v>
      </c>
    </row>
    <row r="242" spans="1:5" x14ac:dyDescent="0.35">
      <c r="A242" s="26">
        <v>44591</v>
      </c>
      <c r="B242" s="6">
        <v>1731.34</v>
      </c>
      <c r="C242" s="6">
        <v>17516.3</v>
      </c>
      <c r="D242" s="8">
        <f t="shared" si="9"/>
        <v>1.1473973242974722E-2</v>
      </c>
      <c r="E242" s="8">
        <f t="shared" si="8"/>
        <v>8.1468798112203089E-3</v>
      </c>
    </row>
    <row r="243" spans="1:5" x14ac:dyDescent="0.35">
      <c r="A243" s="26">
        <v>44584</v>
      </c>
      <c r="B243" s="6">
        <v>1676.75</v>
      </c>
      <c r="C243" s="6">
        <v>17101.95</v>
      </c>
      <c r="D243" s="8">
        <f t="shared" si="9"/>
        <v>-3.1530490833689417E-2</v>
      </c>
      <c r="E243" s="8">
        <f t="shared" si="8"/>
        <v>-2.3655109812003583E-2</v>
      </c>
    </row>
    <row r="244" spans="1:5" x14ac:dyDescent="0.35">
      <c r="A244" s="26">
        <v>44577</v>
      </c>
      <c r="B244" s="6">
        <v>1775.69</v>
      </c>
      <c r="C244" s="6">
        <v>17617.150000000001</v>
      </c>
      <c r="D244" s="8">
        <f t="shared" si="9"/>
        <v>5.9007007603995909E-2</v>
      </c>
      <c r="E244" s="8">
        <f t="shared" si="8"/>
        <v>3.0125219638696299E-2</v>
      </c>
    </row>
    <row r="245" spans="1:5" x14ac:dyDescent="0.35">
      <c r="A245" s="26">
        <v>44570</v>
      </c>
      <c r="B245" s="6">
        <v>1918.54</v>
      </c>
      <c r="C245" s="6">
        <v>18255.75</v>
      </c>
      <c r="D245" s="8">
        <f t="shared" si="9"/>
        <v>8.0447600651014417E-2</v>
      </c>
      <c r="E245" s="8">
        <f t="shared" si="8"/>
        <v>3.6248768955250865E-2</v>
      </c>
    </row>
    <row r="246" spans="1:5" x14ac:dyDescent="0.35">
      <c r="A246" s="26">
        <v>44563</v>
      </c>
      <c r="B246" s="6">
        <v>1804.13</v>
      </c>
      <c r="C246" s="6">
        <v>17812.7</v>
      </c>
      <c r="D246" s="8">
        <f t="shared" si="9"/>
        <v>-5.9633888269204682E-2</v>
      </c>
      <c r="E246" s="8">
        <f t="shared" si="8"/>
        <v>-2.4269065910740406E-2</v>
      </c>
    </row>
    <row r="247" spans="1:5" x14ac:dyDescent="0.35">
      <c r="A247" s="26">
        <v>44556</v>
      </c>
      <c r="B247" s="6">
        <v>1877.17</v>
      </c>
      <c r="C247" s="6">
        <v>17354.05</v>
      </c>
      <c r="D247" s="8">
        <f t="shared" si="9"/>
        <v>4.0484887452677976E-2</v>
      </c>
      <c r="E247" s="8">
        <f t="shared" si="8"/>
        <v>-2.5748482824052621E-2</v>
      </c>
    </row>
    <row r="248" spans="1:5" x14ac:dyDescent="0.35">
      <c r="A248" s="26">
        <v>44549</v>
      </c>
      <c r="B248" s="6">
        <v>1853.06</v>
      </c>
      <c r="C248" s="6">
        <v>17003.75</v>
      </c>
      <c r="D248" s="8">
        <f t="shared" si="9"/>
        <v>-1.2843802106362268E-2</v>
      </c>
      <c r="E248" s="8">
        <f t="shared" si="8"/>
        <v>-2.0185489842428628E-2</v>
      </c>
    </row>
    <row r="249" spans="1:5" x14ac:dyDescent="0.35">
      <c r="A249" s="26">
        <v>44542</v>
      </c>
      <c r="B249" s="6">
        <v>1810.65</v>
      </c>
      <c r="C249" s="6">
        <v>16985.2</v>
      </c>
      <c r="D249" s="8">
        <f t="shared" si="9"/>
        <v>-2.2886468867710619E-2</v>
      </c>
      <c r="E249" s="8">
        <f t="shared" si="8"/>
        <v>-1.0909358229801436E-3</v>
      </c>
    </row>
    <row r="250" spans="1:5" x14ac:dyDescent="0.35">
      <c r="A250" s="26">
        <v>44535</v>
      </c>
      <c r="B250" s="6">
        <v>1749.39</v>
      </c>
      <c r="C250" s="6">
        <v>17511.3</v>
      </c>
      <c r="D250" s="8">
        <f t="shared" si="9"/>
        <v>-3.3833153839781249E-2</v>
      </c>
      <c r="E250" s="8">
        <f t="shared" si="8"/>
        <v>3.0974024444810677E-2</v>
      </c>
    </row>
    <row r="251" spans="1:5" x14ac:dyDescent="0.35">
      <c r="A251" s="26">
        <v>44528</v>
      </c>
      <c r="B251" s="6">
        <v>1725.82</v>
      </c>
      <c r="C251" s="6">
        <v>17196.7</v>
      </c>
      <c r="D251" s="8">
        <f t="shared" si="9"/>
        <v>-1.3473267824784751E-2</v>
      </c>
      <c r="E251" s="8">
        <f t="shared" si="8"/>
        <v>-1.7965542249861466E-2</v>
      </c>
    </row>
    <row r="252" spans="1:5" x14ac:dyDescent="0.35">
      <c r="A252" s="26">
        <v>44521</v>
      </c>
      <c r="B252" s="6">
        <v>1682.17</v>
      </c>
      <c r="C252" s="6">
        <v>17026.45</v>
      </c>
      <c r="D252" s="8">
        <f t="shared" si="9"/>
        <v>-2.5292324807917321E-2</v>
      </c>
      <c r="E252" s="8">
        <f t="shared" si="8"/>
        <v>-9.900155262346888E-3</v>
      </c>
    </row>
    <row r="253" spans="1:5" x14ac:dyDescent="0.35">
      <c r="A253" s="26">
        <v>44514</v>
      </c>
      <c r="B253" s="6">
        <v>1769.43</v>
      </c>
      <c r="C253" s="6">
        <v>17764.8</v>
      </c>
      <c r="D253" s="8">
        <f t="shared" si="9"/>
        <v>5.1873472954576449E-2</v>
      </c>
      <c r="E253" s="8">
        <f t="shared" si="8"/>
        <v>4.3364882286090145E-2</v>
      </c>
    </row>
    <row r="254" spans="1:5" x14ac:dyDescent="0.35">
      <c r="A254" s="26">
        <v>44507</v>
      </c>
      <c r="B254" s="6">
        <v>1770.22</v>
      </c>
      <c r="C254" s="6">
        <v>18102.75</v>
      </c>
      <c r="D254" s="8">
        <f t="shared" si="9"/>
        <v>4.4647146256138193E-4</v>
      </c>
      <c r="E254" s="8">
        <f t="shared" si="8"/>
        <v>1.9023574709537971E-2</v>
      </c>
    </row>
    <row r="255" spans="1:5" x14ac:dyDescent="0.35">
      <c r="A255" s="26">
        <v>44500</v>
      </c>
      <c r="B255" s="6">
        <v>1699.12</v>
      </c>
      <c r="C255" s="6">
        <v>17916.8</v>
      </c>
      <c r="D255" s="8">
        <f t="shared" si="9"/>
        <v>-4.0164499327767222E-2</v>
      </c>
      <c r="E255" s="8">
        <f t="shared" si="8"/>
        <v>-1.0271920012152935E-2</v>
      </c>
    </row>
    <row r="256" spans="1:5" x14ac:dyDescent="0.35">
      <c r="A256" s="26">
        <v>44493</v>
      </c>
      <c r="B256" s="6">
        <v>1658.4</v>
      </c>
      <c r="C256" s="6">
        <v>17671.650000000001</v>
      </c>
      <c r="D256" s="8">
        <f t="shared" si="9"/>
        <v>-2.3965346767738427E-2</v>
      </c>
      <c r="E256" s="8">
        <f t="shared" si="8"/>
        <v>-1.3682688873012938E-2</v>
      </c>
    </row>
    <row r="257" spans="1:5" x14ac:dyDescent="0.35">
      <c r="A257" s="26">
        <v>44486</v>
      </c>
      <c r="B257" s="6">
        <v>1710.16</v>
      </c>
      <c r="C257" s="6">
        <v>18114.900000000001</v>
      </c>
      <c r="D257" s="8">
        <f t="shared" si="9"/>
        <v>3.1210805595754954E-2</v>
      </c>
      <c r="E257" s="8">
        <f t="shared" si="8"/>
        <v>2.5082547470100414E-2</v>
      </c>
    </row>
    <row r="258" spans="1:5" x14ac:dyDescent="0.35">
      <c r="A258" s="26">
        <v>44479</v>
      </c>
      <c r="B258" s="6">
        <v>1706.14</v>
      </c>
      <c r="C258" s="6">
        <v>18338.55</v>
      </c>
      <c r="D258" s="8">
        <f t="shared" si="9"/>
        <v>-2.350657248444632E-3</v>
      </c>
      <c r="E258" s="8">
        <f t="shared" si="8"/>
        <v>1.2346190152857428E-2</v>
      </c>
    </row>
    <row r="259" spans="1:5" x14ac:dyDescent="0.35">
      <c r="A259" s="26">
        <v>44472</v>
      </c>
      <c r="B259" s="6">
        <v>1714.19</v>
      </c>
      <c r="C259" s="6">
        <v>17895.2</v>
      </c>
      <c r="D259" s="8">
        <f t="shared" si="9"/>
        <v>4.7182528983553684E-3</v>
      </c>
      <c r="E259" s="8">
        <f t="shared" si="8"/>
        <v>-2.4175848145027712E-2</v>
      </c>
    </row>
    <row r="260" spans="1:5" x14ac:dyDescent="0.35">
      <c r="A260" s="26">
        <v>44465</v>
      </c>
      <c r="B260" s="6">
        <v>1655.82</v>
      </c>
      <c r="C260" s="6">
        <v>17532.05</v>
      </c>
      <c r="D260" s="8">
        <f t="shared" si="9"/>
        <v>-3.4051067851288419E-2</v>
      </c>
      <c r="E260" s="8">
        <f t="shared" si="8"/>
        <v>-2.0293151236085771E-2</v>
      </c>
    </row>
    <row r="261" spans="1:5" x14ac:dyDescent="0.35">
      <c r="A261" s="26">
        <v>44458</v>
      </c>
      <c r="B261" s="6">
        <v>1753.96</v>
      </c>
      <c r="C261" s="6">
        <v>17853.2</v>
      </c>
      <c r="D261" s="8">
        <f t="shared" si="9"/>
        <v>5.926972738582692E-2</v>
      </c>
      <c r="E261" s="8">
        <f t="shared" si="8"/>
        <v>1.8317880681380849E-2</v>
      </c>
    </row>
    <row r="262" spans="1:5" x14ac:dyDescent="0.35">
      <c r="A262" s="26">
        <v>44451</v>
      </c>
      <c r="B262" s="6">
        <v>1681.82</v>
      </c>
      <c r="C262" s="6">
        <v>17585.150000000001</v>
      </c>
      <c r="D262" s="8">
        <f t="shared" si="9"/>
        <v>-4.1129786312116612E-2</v>
      </c>
      <c r="E262" s="8">
        <f t="shared" si="8"/>
        <v>-1.5014115116617655E-2</v>
      </c>
    </row>
    <row r="263" spans="1:5" x14ac:dyDescent="0.35">
      <c r="A263" s="26">
        <v>44444</v>
      </c>
      <c r="B263" s="6">
        <v>1682.12</v>
      </c>
      <c r="C263" s="6">
        <v>17369.25</v>
      </c>
      <c r="D263" s="8">
        <f t="shared" si="9"/>
        <v>1.7837818553712026E-4</v>
      </c>
      <c r="E263" s="8">
        <f t="shared" si="8"/>
        <v>-1.2277404514604684E-2</v>
      </c>
    </row>
    <row r="264" spans="1:5" x14ac:dyDescent="0.35">
      <c r="A264" s="26">
        <v>44437</v>
      </c>
      <c r="B264" s="6">
        <v>1691.12</v>
      </c>
      <c r="C264" s="6">
        <v>17323.599999999999</v>
      </c>
      <c r="D264" s="8">
        <f t="shared" si="9"/>
        <v>5.3503911730434783E-3</v>
      </c>
      <c r="E264" s="8">
        <f t="shared" si="8"/>
        <v>-2.6282078961383792E-3</v>
      </c>
    </row>
    <row r="265" spans="1:5" x14ac:dyDescent="0.35">
      <c r="A265" s="26">
        <v>44430</v>
      </c>
      <c r="B265" s="6">
        <v>1699.22</v>
      </c>
      <c r="C265" s="6">
        <v>16705.2</v>
      </c>
      <c r="D265" s="8">
        <f t="shared" si="9"/>
        <v>4.7897251525617079E-3</v>
      </c>
      <c r="E265" s="8">
        <f t="shared" si="8"/>
        <v>-3.5696968297582399E-2</v>
      </c>
    </row>
    <row r="266" spans="1:5" x14ac:dyDescent="0.35">
      <c r="A266" s="26">
        <v>44423</v>
      </c>
      <c r="B266" s="6">
        <v>1723.24</v>
      </c>
      <c r="C266" s="6">
        <v>16450.5</v>
      </c>
      <c r="D266" s="8">
        <f t="shared" si="9"/>
        <v>1.4135897647155726E-2</v>
      </c>
      <c r="E266" s="8">
        <f t="shared" si="8"/>
        <v>-1.5246749515121061E-2</v>
      </c>
    </row>
    <row r="267" spans="1:5" x14ac:dyDescent="0.35">
      <c r="A267" s="65" t="s">
        <v>64</v>
      </c>
      <c r="B267" s="67"/>
      <c r="C267" s="67"/>
      <c r="D267" s="67"/>
      <c r="E267" s="67"/>
    </row>
  </sheetData>
  <mergeCells count="1">
    <mergeCell ref="A267:E26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A717-9F92-4206-899C-9F5C5CA57B91}">
  <dimension ref="A1:G18"/>
  <sheetViews>
    <sheetView showGridLines="0" topLeftCell="A7" zoomScaleNormal="100" workbookViewId="0">
      <selection activeCell="B19" sqref="B19"/>
    </sheetView>
  </sheetViews>
  <sheetFormatPr defaultColWidth="8.6328125" defaultRowHeight="14.5" x14ac:dyDescent="0.35"/>
  <cols>
    <col min="1" max="1" width="40" style="1" customWidth="1"/>
    <col min="2" max="6" width="13" style="1" customWidth="1"/>
    <col min="7" max="16384" width="8.6328125" style="1"/>
  </cols>
  <sheetData>
    <row r="1" spans="1:7" ht="18" x14ac:dyDescent="0.4">
      <c r="A1" s="15" t="s">
        <v>147</v>
      </c>
    </row>
    <row r="3" spans="1:7" ht="18" customHeight="1" x14ac:dyDescent="0.35">
      <c r="A3" s="28" t="s">
        <v>65</v>
      </c>
      <c r="B3" s="3"/>
      <c r="C3" s="3"/>
      <c r="D3" s="3"/>
      <c r="E3" s="3"/>
      <c r="F3" s="3"/>
      <c r="G3" s="1" t="s">
        <v>129</v>
      </c>
    </row>
    <row r="4" spans="1:7" x14ac:dyDescent="0.35">
      <c r="A4" s="29" t="s">
        <v>1</v>
      </c>
      <c r="B4" s="30" t="s">
        <v>34</v>
      </c>
      <c r="C4" s="30" t="s">
        <v>35</v>
      </c>
      <c r="D4" s="30" t="s">
        <v>36</v>
      </c>
      <c r="E4" s="30" t="s">
        <v>37</v>
      </c>
      <c r="F4" s="30" t="s">
        <v>38</v>
      </c>
    </row>
    <row r="5" spans="1:7" x14ac:dyDescent="0.35">
      <c r="A5" s="29" t="s">
        <v>8</v>
      </c>
      <c r="B5" s="31">
        <f>Historicals!G5*(1+Inputs!B16)</f>
        <v>196515.00000000003</v>
      </c>
      <c r="C5" s="31">
        <f>B5*(1+Inputs!C16)</f>
        <v>214201.35000000003</v>
      </c>
      <c r="D5" s="31">
        <f>C5*(1+Inputs!D16)</f>
        <v>231337.45800000004</v>
      </c>
      <c r="E5" s="31">
        <f>D5*(1+Inputs!E16)</f>
        <v>247531.08006000007</v>
      </c>
      <c r="F5" s="31">
        <f>E5*(1+Inputs!F16)</f>
        <v>262382.94486360007</v>
      </c>
    </row>
    <row r="6" spans="1:7" x14ac:dyDescent="0.35">
      <c r="A6" s="16" t="s">
        <v>72</v>
      </c>
      <c r="B6" s="32">
        <f>Inputs!B16</f>
        <v>0.1</v>
      </c>
      <c r="C6" s="32">
        <f>Inputs!C16</f>
        <v>0.09</v>
      </c>
      <c r="D6" s="32">
        <f>Inputs!D16</f>
        <v>0.08</v>
      </c>
      <c r="E6" s="32">
        <f>Inputs!E16</f>
        <v>7.0000000000000007E-2</v>
      </c>
      <c r="F6" s="32">
        <f>Inputs!F16</f>
        <v>0.06</v>
      </c>
    </row>
    <row r="7" spans="1:7" x14ac:dyDescent="0.35">
      <c r="A7" s="29" t="s">
        <v>66</v>
      </c>
      <c r="B7" s="31">
        <f>B5*Inputs!B20</f>
        <v>46770.570000000007</v>
      </c>
      <c r="C7" s="31">
        <f>C5*Inputs!C20</f>
        <v>51408.324000000008</v>
      </c>
      <c r="D7" s="31">
        <f>D5*Inputs!D20</f>
        <v>55983.664836000011</v>
      </c>
      <c r="E7" s="31">
        <f>E5*Inputs!E20</f>
        <v>60397.583534640013</v>
      </c>
      <c r="F7" s="31">
        <f>F5*Inputs!F20</f>
        <v>64283.821491582014</v>
      </c>
    </row>
    <row r="8" spans="1:7" x14ac:dyDescent="0.35">
      <c r="A8" s="16" t="s">
        <v>115</v>
      </c>
      <c r="B8" s="32">
        <f>Inputs!B20</f>
        <v>0.23799999999999999</v>
      </c>
      <c r="C8" s="32">
        <f>Inputs!C20</f>
        <v>0.24</v>
      </c>
      <c r="D8" s="32">
        <f>Inputs!D20</f>
        <v>0.24199999999999999</v>
      </c>
      <c r="E8" s="32">
        <f>Inputs!E20</f>
        <v>0.24399999999999999</v>
      </c>
      <c r="F8" s="32">
        <f>Inputs!F20</f>
        <v>0.245</v>
      </c>
    </row>
    <row r="9" spans="1:7" x14ac:dyDescent="0.35">
      <c r="A9" s="16" t="s">
        <v>11</v>
      </c>
      <c r="B9" s="31">
        <f>B5*Inputs!$B$23</f>
        <v>5502.420000000001</v>
      </c>
      <c r="C9" s="31">
        <f>C5*Inputs!$B$23</f>
        <v>5997.6378000000013</v>
      </c>
      <c r="D9" s="31">
        <f>D5*Inputs!$B$23</f>
        <v>6477.448824000001</v>
      </c>
      <c r="E9" s="31">
        <f>E5*Inputs!$B$23</f>
        <v>6930.8702416800024</v>
      </c>
      <c r="F9" s="31">
        <f>F5*Inputs!$B$23</f>
        <v>7346.7224561808025</v>
      </c>
    </row>
    <row r="10" spans="1:7" x14ac:dyDescent="0.35">
      <c r="A10" s="29" t="s">
        <v>12</v>
      </c>
      <c r="B10" s="31">
        <f>B7-B9</f>
        <v>41268.150000000009</v>
      </c>
      <c r="C10" s="31">
        <f>C7-C9</f>
        <v>45410.686200000004</v>
      </c>
      <c r="D10" s="31">
        <f>D7-D9</f>
        <v>49506.216012000012</v>
      </c>
      <c r="E10" s="31">
        <f>E7-E9</f>
        <v>53466.713292960012</v>
      </c>
      <c r="F10" s="31">
        <f>F7-F9</f>
        <v>56937.09903540121</v>
      </c>
    </row>
    <row r="11" spans="1:7" x14ac:dyDescent="0.35">
      <c r="A11" s="16" t="s">
        <v>67</v>
      </c>
      <c r="B11" s="31">
        <f>B10*Inputs!$B$22</f>
        <v>10729.719000000003</v>
      </c>
      <c r="C11" s="31">
        <f>C10*Inputs!$B$22</f>
        <v>11806.778412000001</v>
      </c>
      <c r="D11" s="31">
        <f>D10*Inputs!$B$22</f>
        <v>12871.616163120003</v>
      </c>
      <c r="E11" s="31">
        <f>E10*Inputs!$B$22</f>
        <v>13901.345456169603</v>
      </c>
      <c r="F11" s="31">
        <f>F10*Inputs!$B$22</f>
        <v>14803.645749204316</v>
      </c>
    </row>
    <row r="12" spans="1:7" x14ac:dyDescent="0.35">
      <c r="A12" s="29" t="s">
        <v>128</v>
      </c>
      <c r="B12" s="31">
        <f>B10-B11</f>
        <v>30538.431000000004</v>
      </c>
      <c r="C12" s="31">
        <f>C10-C11</f>
        <v>33603.907788000004</v>
      </c>
      <c r="D12" s="31">
        <f>D10-D11</f>
        <v>36634.599848880011</v>
      </c>
      <c r="E12" s="31">
        <f>E10-E11</f>
        <v>39565.367836790407</v>
      </c>
      <c r="F12" s="31">
        <f>F10-F11</f>
        <v>42133.453286196891</v>
      </c>
    </row>
    <row r="13" spans="1:7" x14ac:dyDescent="0.35">
      <c r="A13" s="16" t="s">
        <v>68</v>
      </c>
      <c r="B13" s="31">
        <f>B9</f>
        <v>5502.420000000001</v>
      </c>
      <c r="C13" s="31">
        <f>C9</f>
        <v>5997.6378000000013</v>
      </c>
      <c r="D13" s="31">
        <f>D9</f>
        <v>6477.448824000001</v>
      </c>
      <c r="E13" s="31">
        <f>E9</f>
        <v>6930.8702416800024</v>
      </c>
      <c r="F13" s="31">
        <f>F9</f>
        <v>7346.7224561808025</v>
      </c>
    </row>
    <row r="14" spans="1:7" x14ac:dyDescent="0.35">
      <c r="A14" s="16" t="s">
        <v>69</v>
      </c>
      <c r="B14" s="31">
        <f>B5*Inputs!$B$24</f>
        <v>2947.7250000000004</v>
      </c>
      <c r="C14" s="31">
        <f>C5*Inputs!$B$24</f>
        <v>3213.0202500000005</v>
      </c>
      <c r="D14" s="31">
        <f>D5*Inputs!$B$24</f>
        <v>3470.0618700000005</v>
      </c>
      <c r="E14" s="31">
        <f>E5*Inputs!$B$24</f>
        <v>3712.9662009000008</v>
      </c>
      <c r="F14" s="31">
        <f>F5*Inputs!$B$24</f>
        <v>3935.744172954001</v>
      </c>
    </row>
    <row r="15" spans="1:7" x14ac:dyDescent="0.35">
      <c r="A15" s="27" t="s">
        <v>148</v>
      </c>
      <c r="B15" s="31">
        <f>B5*Inputs!$B$25/365</f>
        <v>17767.109589041098</v>
      </c>
      <c r="C15" s="31">
        <f>C5*Inputs!$B$25/365</f>
        <v>19366.149452054797</v>
      </c>
      <c r="D15" s="31">
        <f>D5*Inputs!$B$25/365</f>
        <v>20915.44140821918</v>
      </c>
      <c r="E15" s="31">
        <f>E5*Inputs!$B$25/365</f>
        <v>22379.522306794526</v>
      </c>
      <c r="F15" s="31">
        <f>F5*Inputs!$B$25/365</f>
        <v>23722.2936452022</v>
      </c>
    </row>
    <row r="16" spans="1:7" x14ac:dyDescent="0.35">
      <c r="A16" s="16" t="s">
        <v>70</v>
      </c>
      <c r="B16" s="31">
        <f>B15-Historicals!G21</f>
        <v>1615.1917808219205</v>
      </c>
      <c r="C16" s="31">
        <f>C15-B15</f>
        <v>1599.0398630136988</v>
      </c>
      <c r="D16" s="31">
        <f>D15-C15</f>
        <v>1549.291956164383</v>
      </c>
      <c r="E16" s="31">
        <f>E15-D15</f>
        <v>1464.0808985753465</v>
      </c>
      <c r="F16" s="31">
        <f>F15-E15</f>
        <v>1342.7713384076742</v>
      </c>
    </row>
    <row r="17" spans="1:6" x14ac:dyDescent="0.35">
      <c r="A17" s="33" t="s">
        <v>71</v>
      </c>
      <c r="B17" s="34">
        <f>B12+B13-B14-B16</f>
        <v>31477.934219178082</v>
      </c>
      <c r="C17" s="34">
        <f>C12+C13-C14-C16</f>
        <v>34789.485474986308</v>
      </c>
      <c r="D17" s="34">
        <f>D12+D13-D14-D16</f>
        <v>38092.694846715633</v>
      </c>
      <c r="E17" s="34">
        <f>E12+E13-E14-E16</f>
        <v>41319.190978995059</v>
      </c>
      <c r="F17" s="34">
        <f>F12+F13-F14-F16</f>
        <v>44201.660231016023</v>
      </c>
    </row>
    <row r="18" spans="1:6" x14ac:dyDescent="0.35">
      <c r="A18" s="65"/>
      <c r="B18" s="65"/>
      <c r="C18" s="65"/>
      <c r="D18" s="65"/>
      <c r="E18" s="65"/>
    </row>
  </sheetData>
  <mergeCells count="1">
    <mergeCell ref="A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8D06-25FF-49FA-B398-480AC34909BE}">
  <dimension ref="A1:F31"/>
  <sheetViews>
    <sheetView showGridLines="0" topLeftCell="A15" zoomScaleNormal="100" workbookViewId="0">
      <selection activeCell="A23" sqref="A23"/>
    </sheetView>
  </sheetViews>
  <sheetFormatPr defaultColWidth="8.6328125" defaultRowHeight="14.5" x14ac:dyDescent="0.35"/>
  <cols>
    <col min="1" max="1" width="35.08984375" style="1" customWidth="1"/>
    <col min="2" max="7" width="13" style="1" customWidth="1"/>
    <col min="8" max="16384" width="8.6328125" style="1"/>
  </cols>
  <sheetData>
    <row r="1" spans="1:6" ht="18" x14ac:dyDescent="0.4">
      <c r="A1" s="15" t="s">
        <v>130</v>
      </c>
    </row>
    <row r="3" spans="1:6" ht="18" customHeight="1" x14ac:dyDescent="0.35">
      <c r="A3" s="28" t="s">
        <v>132</v>
      </c>
      <c r="B3" s="3"/>
      <c r="C3" s="3"/>
      <c r="D3" s="3"/>
      <c r="E3" s="3"/>
      <c r="F3" s="3"/>
    </row>
    <row r="4" spans="1:6" x14ac:dyDescent="0.35">
      <c r="A4" s="29" t="s">
        <v>1</v>
      </c>
      <c r="B4" s="30" t="s">
        <v>34</v>
      </c>
      <c r="C4" s="30" t="s">
        <v>35</v>
      </c>
      <c r="D4" s="30" t="s">
        <v>36</v>
      </c>
      <c r="E4" s="30" t="s">
        <v>37</v>
      </c>
      <c r="F4" s="30" t="s">
        <v>38</v>
      </c>
    </row>
    <row r="5" spans="1:6" x14ac:dyDescent="0.35">
      <c r="A5" s="16" t="s">
        <v>74</v>
      </c>
      <c r="B5" s="35">
        <v>1</v>
      </c>
      <c r="C5" s="35">
        <v>2</v>
      </c>
      <c r="D5" s="35">
        <v>3</v>
      </c>
      <c r="E5" s="35">
        <v>4</v>
      </c>
      <c r="F5" s="35">
        <v>5</v>
      </c>
    </row>
    <row r="6" spans="1:6" x14ac:dyDescent="0.35">
      <c r="A6" s="36" t="s">
        <v>116</v>
      </c>
      <c r="B6" s="37">
        <f>Forecast!B17</f>
        <v>31477.934219178082</v>
      </c>
      <c r="C6" s="37">
        <f>Forecast!C17</f>
        <v>34789.485474986308</v>
      </c>
      <c r="D6" s="37">
        <f>Forecast!D17</f>
        <v>38092.694846715633</v>
      </c>
      <c r="E6" s="37">
        <f>Forecast!E17</f>
        <v>41319.190978995059</v>
      </c>
      <c r="F6" s="37">
        <f>Forecast!F17</f>
        <v>44201.660231016023</v>
      </c>
    </row>
    <row r="7" spans="1:6" x14ac:dyDescent="0.35">
      <c r="A7" s="16" t="s">
        <v>131</v>
      </c>
      <c r="B7" s="38">
        <f>1/(1+Inputs!$B$38)^B5</f>
        <v>0.88350987108731638</v>
      </c>
      <c r="C7" s="38">
        <f>1/(1+Inputs!$B$38)^C5</f>
        <v>0.78058969230872655</v>
      </c>
      <c r="D7" s="38">
        <f>1/(1+Inputs!$B$38)^D5</f>
        <v>0.68965869842377103</v>
      </c>
      <c r="E7" s="38">
        <f>1/(1+Inputs!$B$38)^E5</f>
        <v>0.60932026773863235</v>
      </c>
      <c r="F7" s="38">
        <f>1/(1+Inputs!$B$38)^F5</f>
        <v>0.53834047120064821</v>
      </c>
    </row>
    <row r="8" spans="1:6" x14ac:dyDescent="0.35">
      <c r="A8" s="29" t="s">
        <v>75</v>
      </c>
      <c r="B8" s="31">
        <f>B6*B7</f>
        <v>27811.06560408105</v>
      </c>
      <c r="C8" s="31">
        <f>C6*C7</f>
        <v>27156.313762498474</v>
      </c>
      <c r="D8" s="31">
        <f>D6*D7</f>
        <v>26270.958347439795</v>
      </c>
      <c r="E8" s="31">
        <f>E6*E7</f>
        <v>25176.620510064953</v>
      </c>
      <c r="F8" s="31">
        <f>F6*F7</f>
        <v>23795.54259661612</v>
      </c>
    </row>
    <row r="10" spans="1:6" ht="18" customHeight="1" x14ac:dyDescent="0.35">
      <c r="A10" s="28" t="s">
        <v>133</v>
      </c>
      <c r="B10" s="3"/>
      <c r="C10" s="3"/>
      <c r="D10" s="3"/>
      <c r="E10" s="3"/>
      <c r="F10" s="3"/>
    </row>
    <row r="11" spans="1:6" x14ac:dyDescent="0.35">
      <c r="A11" s="29" t="s">
        <v>134</v>
      </c>
      <c r="B11" s="31">
        <f>SUM(B8:F8)</f>
        <v>130210.5008207004</v>
      </c>
    </row>
    <row r="12" spans="1:6" x14ac:dyDescent="0.35">
      <c r="A12" s="16" t="s">
        <v>135</v>
      </c>
      <c r="B12" s="31">
        <f>F6*(1+Inputs!B41)/(Inputs!B38-Inputs!B41)</f>
        <v>500490.9470587158</v>
      </c>
    </row>
    <row r="13" spans="1:6" x14ac:dyDescent="0.35">
      <c r="A13" s="29" t="s">
        <v>136</v>
      </c>
      <c r="B13" s="31">
        <f>B12/(1+Inputs!B38)^5</f>
        <v>269434.53227124771</v>
      </c>
    </row>
    <row r="15" spans="1:6" ht="18" customHeight="1" x14ac:dyDescent="0.35">
      <c r="A15" s="28" t="s">
        <v>149</v>
      </c>
      <c r="B15" s="3"/>
      <c r="C15" s="3"/>
      <c r="D15" s="3"/>
      <c r="E15" s="3"/>
      <c r="F15" s="3"/>
    </row>
    <row r="16" spans="1:6" x14ac:dyDescent="0.35">
      <c r="A16" s="39" t="s">
        <v>137</v>
      </c>
      <c r="B16" s="40">
        <f>B11+B13</f>
        <v>399645.03309194813</v>
      </c>
    </row>
    <row r="17" spans="1:6" x14ac:dyDescent="0.35">
      <c r="A17" s="27" t="s">
        <v>76</v>
      </c>
      <c r="B17" s="41">
        <f>B13/B16</f>
        <v>0.67418461374761463</v>
      </c>
    </row>
    <row r="18" spans="1:6" x14ac:dyDescent="0.35">
      <c r="A18" s="36" t="s">
        <v>77</v>
      </c>
      <c r="B18" s="37">
        <f>Historicals!G18</f>
        <v>-13025</v>
      </c>
    </row>
    <row r="19" spans="1:6" x14ac:dyDescent="0.35">
      <c r="A19" s="39" t="s">
        <v>78</v>
      </c>
      <c r="B19" s="40">
        <f>B16-B18</f>
        <v>412670.03309194813</v>
      </c>
    </row>
    <row r="20" spans="1:6" x14ac:dyDescent="0.35">
      <c r="A20" s="36" t="s">
        <v>79</v>
      </c>
      <c r="B20" s="42">
        <f>Inputs!B5</f>
        <v>405</v>
      </c>
    </row>
    <row r="21" spans="1:6" ht="15.5" x14ac:dyDescent="0.35">
      <c r="A21" s="43" t="s">
        <v>80</v>
      </c>
      <c r="B21" s="44">
        <f>B19/B20</f>
        <v>1018.9383533134522</v>
      </c>
    </row>
    <row r="22" spans="1:6" x14ac:dyDescent="0.35">
      <c r="A22" s="36" t="s">
        <v>81</v>
      </c>
      <c r="B22" s="45">
        <f>Inputs!B4</f>
        <v>1183</v>
      </c>
    </row>
    <row r="23" spans="1:6" x14ac:dyDescent="0.35">
      <c r="A23" s="39" t="s">
        <v>82</v>
      </c>
      <c r="B23" s="59">
        <f>B21/B22-1</f>
        <v>-0.13868271063951632</v>
      </c>
    </row>
    <row r="25" spans="1:6" ht="18" customHeight="1" x14ac:dyDescent="0.35">
      <c r="A25" s="28" t="s">
        <v>150</v>
      </c>
      <c r="B25" s="3"/>
      <c r="C25" s="3"/>
      <c r="D25" s="3"/>
      <c r="E25" s="3"/>
      <c r="F25" s="3"/>
    </row>
    <row r="26" spans="1:6" x14ac:dyDescent="0.35">
      <c r="A26" s="46" t="s">
        <v>83</v>
      </c>
      <c r="B26" s="47">
        <f>Inputs!$B$41+(-0.01)</f>
        <v>0.03</v>
      </c>
      <c r="C26" s="47">
        <f>Inputs!$B$41+(-0.005)</f>
        <v>3.5000000000000003E-2</v>
      </c>
      <c r="D26" s="47">
        <f>Inputs!$B$41+(0)</f>
        <v>0.04</v>
      </c>
      <c r="E26" s="47">
        <f>Inputs!$B$41+(0.005)</f>
        <v>4.4999999999999998E-2</v>
      </c>
      <c r="F26" s="47">
        <f>Inputs!$B$41+(0.01)</f>
        <v>0.05</v>
      </c>
    </row>
    <row r="27" spans="1:6" x14ac:dyDescent="0.35">
      <c r="A27" s="48">
        <f>Inputs!$B$38+(-0.01)</f>
        <v>0.12184926702553057</v>
      </c>
      <c r="B27" s="49" cm="1">
        <f t="array" ref="B27">(SUMPRODUCT(Forecast!$B$17:$F$17,1/(1+$A27)^{1,2,3,4,5})+(Forecast!$F$17*(1+B$26)/($A27-B$26))/(1+$A27)^5-B18)/B20</f>
        <v>1050.9102733201</v>
      </c>
      <c r="C27" s="49" cm="1">
        <f t="array" ref="C27">(SUMPRODUCT(Forecast!$B$17:$F$17,1/(1+$A27)^{1,2,3,4,5})+(Forecast!$F$17*(1+C$26)/($A27-C$26))/(1+$A27)^5-B18)/B20</f>
        <v>1094.0993258295439</v>
      </c>
      <c r="D27" s="49" cm="1">
        <f t="array" ref="D27">(SUMPRODUCT(Forecast!$B$17:$F$17,1/(1+$A27)^{1,2,3,4,5})+(Forecast!$F$17*(1+D$26)/($A27-D$26))/(1+$A27)^5-B18)/B20</f>
        <v>1142.5650355503433</v>
      </c>
      <c r="E27" s="49" cm="1">
        <f t="array" ref="E27">(SUMPRODUCT(Forecast!B17:F17,1/(1+$A27)^{1,2,3,4,5})+(Forecast!$F$17*(1+E$26)/($A27-E$26))/(1+$A27)^5-B18)/B20</f>
        <v>1197.3373388922241</v>
      </c>
      <c r="F27" s="49" cm="1">
        <f t="array" ref="F27">(SUMPRODUCT(Forecast!$B$17:$F$17,1/(1+$A27)^{1,2,3,4,5})+(Forecast!$F$17*(1+F$26)/($A27-F$26))/(1+$A27)^5-B18)/B20</f>
        <v>1259.7328659090826</v>
      </c>
    </row>
    <row r="28" spans="1:6" x14ac:dyDescent="0.35">
      <c r="A28" s="48">
        <f>Inputs!$B$38+(-0.005)</f>
        <v>0.12684926702553057</v>
      </c>
      <c r="B28" s="49" cm="1">
        <f t="array" ref="B28">(SUMPRODUCT(Forecast!$B$17:$F$17,1/(1+$A28)^{1,2,3,4,5})+(Forecast!$F$17*(1+B$26)/($A28-B$26))/(1+$A28)^5-B18)/B20</f>
        <v>996.70682242057273</v>
      </c>
      <c r="C28" s="49" cm="1">
        <f t="array" ref="C28">(SUMPRODUCT(Forecast!$B$17:$F$17,1/(1+$A28)^{1,2,3,4,5})+(Forecast!$F$17*(1+C$26)/($A28-C$26))/(1+$A28)^5-B18)/B20</f>
        <v>1034.7536301551506</v>
      </c>
      <c r="D28" s="49" cm="1">
        <f t="array" ref="D28">(SUMPRODUCT(Forecast!$B$17:$F$17,1/(1+$A28)^{1,2,3,4,5})+(Forecast!$F$17*(1+D$26)/($A28-D$26))/(1+$A28)^5-B18)/B20</f>
        <v>1077.1812241689493</v>
      </c>
      <c r="E28" s="49" cm="1">
        <f t="array" ref="E28">(SUMPRODUCT(Forecast!$B$17:$F$17,1/(1+$A28)^{1,2,3,4,5})+(Forecast!$F$17*(1+E$26)/($A28-E$26))/(1+$A28)^5-B18)/B20</f>
        <v>1124.7924435902376</v>
      </c>
      <c r="F28" s="49" cm="1">
        <f t="array" ref="F28">(SUMPRODUCT(Forecast!$B$17:$F$17,1/(1+$A28)^{1,2,3,4,5})+(Forecast!$F$17*(1+F$26)/($A28-F$26))/(1+$A28)^5-B18)/B20</f>
        <v>1178.5990662032664</v>
      </c>
    </row>
    <row r="29" spans="1:6" x14ac:dyDescent="0.35">
      <c r="A29" s="48">
        <f>Inputs!$B$38+(0)</f>
        <v>0.13184926702553057</v>
      </c>
      <c r="B29" s="49" cm="1">
        <f t="array" ref="B29">(SUMPRODUCT(Forecast!$B$17:$F$17,1/(1+$A29)^{1,2,3,4,5})+(Forecast!$F$17*(1+B$26)/($A29-B$26))/(1+$A29)^5-B18)/B20</f>
        <v>947.85047046835939</v>
      </c>
      <c r="C29" s="49" cm="1">
        <f t="array" ref="C29">(SUMPRODUCT(Forecast!$B$17:$F$17,1/(1+$A29)^{1,2,3,4,5})+(Forecast!$F$17*(1+C$26)/($A29-C$26))/(1+$A29)^5-B18)/B20</f>
        <v>981.55939844608645</v>
      </c>
      <c r="D29" s="50" cm="1">
        <f t="array" ref="D29">(SUMPRODUCT(Forecast!$B$17:$F$17,1/(1+$A29)^{1,2,3,4,5})+(Forecast!$F$17*(1+D$26)/($A29-D$26))/(1+$A29)^5-B18)/B20</f>
        <v>1018.9383533134522</v>
      </c>
      <c r="E29" s="49" cm="1">
        <f t="array" ref="E29">(SUMPRODUCT(Forecast!$B$17:$F$17,1/(1+$A29)^{1,2,3,4,5})+(Forecast!$F$17*(1+E$26)/($A29-E$26))/(1+$A29)^5-B18)/B20</f>
        <v>1060.6211965321581</v>
      </c>
      <c r="F29" s="49" cm="1">
        <f t="array" ref="F29">(SUMPRODUCT(Forecast!$B$17:$F$17,1/(1+$A29)^{1,2,3,4,5})+(Forecast!$F$17*(1+F$26)/($A29-F$26))/(1+$A29)^5-B18)/B20</f>
        <v>1107.396674631236</v>
      </c>
    </row>
    <row r="30" spans="1:6" x14ac:dyDescent="0.35">
      <c r="A30" s="48">
        <f>Inputs!$B$38+(0.005)</f>
        <v>0.13684926702553057</v>
      </c>
      <c r="B30" s="49" cm="1">
        <f t="array" ref="B30">(SUMPRODUCT(Forecast!$B$17:$F$17,1/(1+$A30)^{1,2,3,4,5})+(Forecast!$F$17*(1+B$26)/($A30-B$26))/(1+$A30)^5-B18)/B20</f>
        <v>903.59003905139537</v>
      </c>
      <c r="C30" s="49" cm="1">
        <f t="array" ref="C30">(SUMPRODUCT(Forecast!$B$17:$F$17,1/(1+$A30)^{1,2,3,4,5})+(Forecast!$F$17*(1+C$26)/($A30-C$26))/(1+$A30)^5-B18)/B20</f>
        <v>933.61016869327852</v>
      </c>
      <c r="D30" s="49" cm="1">
        <f t="array" ref="D30">(SUMPRODUCT(Forecast!$B$17:$F$17,1/(1+$A30)^{1,2,3,4,5})+(Forecast!$F$17*(1+D$26)/($A30-D$26))/(1+$A30)^5-B18)/B20</f>
        <v>966.72997379620244</v>
      </c>
      <c r="E30" s="49" cm="1">
        <f t="array" ref="E30">(SUMPRODUCT(Forecast!$B$17:$F$17,1/(1+$A30)^{1,2,3,4,5})+(Forecast!$F$17*(1+E$26)/($A30-E$26))/(1+$A30)^5-B18)/B20</f>
        <v>1003.4556656062804</v>
      </c>
      <c r="F30" s="49" cm="1">
        <f t="array" ref="F30">(SUMPRODUCT(Forecast!$B$17:$F$17,1/(1+$A30)^{1,2,3,4,5})+(Forecast!$F$17*(1+F$26)/($A30-F$26))/(1+$A30)^5-B18)/B20</f>
        <v>1044.4100277399991</v>
      </c>
    </row>
    <row r="31" spans="1:6" x14ac:dyDescent="0.35">
      <c r="A31" s="48">
        <f>Inputs!$B$38+(0.01)</f>
        <v>0.14184926702553058</v>
      </c>
      <c r="B31" s="49" cm="1">
        <f t="array" ref="B31">(SUMPRODUCT(Forecast!$B$17:$F$17,1/(1+$A31)^{1,2,3,4,5})+(Forecast!$F$17*(1+B$26)/($A31-B$26))/(1+$A31)^5-B18)/B20</f>
        <v>863.30868315388454</v>
      </c>
      <c r="C31" s="49" cm="1">
        <f t="array" ref="C31">(SUMPRODUCT(Forecast!$B$17:$F$17,1/(1+$A31)^{1,2,3,4,5})+(Forecast!$F$17*(1+C$26)/($A31-C$26))/(1+$A31)^5-B18)/B20</f>
        <v>890.16916279814154</v>
      </c>
      <c r="D31" s="49" cm="1">
        <f t="array" ref="D31">(SUMPRODUCT(Forecast!$B$17:$F$17,1/(1+$A31)^{1,2,3,4,5})+(Forecast!$F$17*(1+D$26)/($A31-D$26))/(1+$A31)^5-B18)/B20</f>
        <v>919.66692010071733</v>
      </c>
      <c r="E31" s="49" cm="1">
        <f t="array" ref="E31">(SUMPRODUCT(Forecast!$B$17:$F$17,1/(1+$A31)^{1,2,3,4,5})+(Forecast!$F$17*(1+E$26)/($A31-E$26))/(1+$A31)^5-B18)/B20</f>
        <v>952.210416231115</v>
      </c>
      <c r="F31" s="49" cm="1">
        <f t="array" ref="F31">(SUMPRODUCT(Forecast!$B$17:$F$17,1/(1+$A31)^{1,2,3,4,5})+(Forecast!$F$17*(1+F$26)/($A31-F$26))/(1+$A31)^5-B18)/B20</f>
        <v>988.29705398738452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52DFB-D78A-4F08-9509-8C43AFD1D8AE}">
  <dimension ref="A1:G22"/>
  <sheetViews>
    <sheetView showGridLines="0" zoomScaleNormal="100" workbookViewId="0">
      <selection activeCell="B22" sqref="B22"/>
    </sheetView>
  </sheetViews>
  <sheetFormatPr defaultColWidth="8.6328125" defaultRowHeight="14.5" x14ac:dyDescent="0.35"/>
  <cols>
    <col min="1" max="1" width="67.6328125" style="1" customWidth="1"/>
    <col min="2" max="2" width="13" style="1" customWidth="1"/>
    <col min="3" max="3" width="24.453125" style="1" customWidth="1"/>
    <col min="4" max="4" width="27.26953125" style="1" customWidth="1"/>
    <col min="5" max="6" width="13" style="1" customWidth="1"/>
    <col min="7" max="7" width="19.1796875" style="1" customWidth="1"/>
    <col min="8" max="16384" width="8.6328125" style="1"/>
  </cols>
  <sheetData>
    <row r="1" spans="1:7" ht="18" x14ac:dyDescent="0.4">
      <c r="A1" s="15" t="s">
        <v>99</v>
      </c>
    </row>
    <row r="3" spans="1:7" ht="18" customHeight="1" x14ac:dyDescent="0.35">
      <c r="A3" s="28" t="s">
        <v>138</v>
      </c>
      <c r="B3" s="3"/>
      <c r="C3" s="3"/>
      <c r="D3" s="3"/>
      <c r="E3" s="3"/>
      <c r="F3" s="3"/>
    </row>
    <row r="4" spans="1:7" ht="26.5" x14ac:dyDescent="0.35">
      <c r="A4" s="63" t="s">
        <v>84</v>
      </c>
      <c r="B4" s="51" t="s">
        <v>85</v>
      </c>
      <c r="C4" s="51" t="s">
        <v>86</v>
      </c>
      <c r="D4" s="51" t="s">
        <v>87</v>
      </c>
      <c r="E4" s="51" t="s">
        <v>88</v>
      </c>
      <c r="F4" s="51" t="s">
        <v>89</v>
      </c>
    </row>
    <row r="5" spans="1:7" x14ac:dyDescent="0.35">
      <c r="A5" s="52" t="s">
        <v>90</v>
      </c>
      <c r="B5" s="54">
        <v>887408.33</v>
      </c>
      <c r="C5" s="54">
        <v>275859</v>
      </c>
      <c r="D5" s="54">
        <v>53690.47</v>
      </c>
      <c r="E5" s="53">
        <f>B5/D5</f>
        <v>16.528228007689258</v>
      </c>
      <c r="F5" s="54">
        <v>11.3</v>
      </c>
      <c r="G5" s="55"/>
    </row>
    <row r="6" spans="1:7" x14ac:dyDescent="0.35">
      <c r="A6" s="52" t="s">
        <v>91</v>
      </c>
      <c r="B6" s="54">
        <v>368135.81</v>
      </c>
      <c r="C6" s="54">
        <v>134374</v>
      </c>
      <c r="D6" s="54">
        <v>18130.330000000002</v>
      </c>
      <c r="E6" s="53">
        <f t="shared" ref="E6:E8" si="0">B6/D6</f>
        <v>20.304970179803675</v>
      </c>
      <c r="F6" s="54">
        <v>12.06</v>
      </c>
    </row>
    <row r="7" spans="1:7" x14ac:dyDescent="0.35">
      <c r="A7" s="52" t="s">
        <v>92</v>
      </c>
      <c r="B7" s="54">
        <v>185737.13</v>
      </c>
      <c r="C7" s="54">
        <v>94968</v>
      </c>
      <c r="D7" s="54">
        <v>13219</v>
      </c>
      <c r="E7" s="53">
        <f t="shared" si="0"/>
        <v>14.050770103638703</v>
      </c>
      <c r="F7" s="54">
        <v>8.8800000000000008</v>
      </c>
    </row>
    <row r="8" spans="1:7" x14ac:dyDescent="0.35">
      <c r="A8" s="52" t="s">
        <v>93</v>
      </c>
      <c r="B8" s="54">
        <v>160243.87</v>
      </c>
      <c r="C8" s="54">
        <v>59176.1</v>
      </c>
      <c r="D8" s="54">
        <v>5320.57</v>
      </c>
      <c r="E8" s="53">
        <f t="shared" si="0"/>
        <v>30.117801288207843</v>
      </c>
      <c r="F8" s="54">
        <v>16.489999999999998</v>
      </c>
    </row>
    <row r="9" spans="1:7" x14ac:dyDescent="0.35">
      <c r="A9" s="65"/>
      <c r="B9" s="65"/>
      <c r="C9" s="65"/>
      <c r="D9" s="65"/>
      <c r="E9" s="65"/>
      <c r="F9" s="65"/>
    </row>
    <row r="11" spans="1:7" ht="18" customHeight="1" x14ac:dyDescent="0.35">
      <c r="A11" s="28" t="s">
        <v>151</v>
      </c>
      <c r="B11" s="3"/>
      <c r="C11" s="3"/>
      <c r="D11" s="3"/>
      <c r="E11" s="3"/>
      <c r="F11" s="3"/>
    </row>
    <row r="12" spans="1:7" x14ac:dyDescent="0.35">
      <c r="A12" s="16" t="s">
        <v>94</v>
      </c>
      <c r="B12" s="53">
        <f>MEDIAN(E5:E8)</f>
        <v>18.416599093746466</v>
      </c>
    </row>
    <row r="13" spans="1:7" x14ac:dyDescent="0.35">
      <c r="A13" s="16" t="s">
        <v>95</v>
      </c>
      <c r="B13" s="53">
        <f>MEDIAN(F5:F8)</f>
        <v>11.68</v>
      </c>
    </row>
    <row r="15" spans="1:7" ht="18" customHeight="1" x14ac:dyDescent="0.35">
      <c r="A15" s="28" t="s">
        <v>96</v>
      </c>
      <c r="B15" s="3"/>
      <c r="C15" s="3"/>
      <c r="D15" s="3"/>
      <c r="E15" s="3"/>
      <c r="F15" s="3"/>
    </row>
    <row r="16" spans="1:7" x14ac:dyDescent="0.35">
      <c r="A16" s="36" t="s">
        <v>142</v>
      </c>
      <c r="B16" s="37">
        <f>Forecast!B12</f>
        <v>30538.431000000004</v>
      </c>
    </row>
    <row r="17" spans="1:2" x14ac:dyDescent="0.35">
      <c r="A17" s="36" t="s">
        <v>97</v>
      </c>
      <c r="B17" s="37">
        <f>Forecast!B7</f>
        <v>46770.570000000007</v>
      </c>
    </row>
    <row r="18" spans="1:2" x14ac:dyDescent="0.35">
      <c r="A18" s="36" t="s">
        <v>26</v>
      </c>
      <c r="B18" s="42">
        <f>Inputs!$B$5</f>
        <v>405</v>
      </c>
    </row>
    <row r="19" spans="1:2" x14ac:dyDescent="0.35">
      <c r="A19" s="36" t="s">
        <v>98</v>
      </c>
      <c r="B19" s="37">
        <f>Historicals!G18</f>
        <v>-13025</v>
      </c>
    </row>
    <row r="21" spans="1:2" x14ac:dyDescent="0.35">
      <c r="A21" s="33" t="s">
        <v>140</v>
      </c>
      <c r="B21" s="60">
        <f>B12*(B16/B18)</f>
        <v>1388.6766436519483</v>
      </c>
    </row>
    <row r="22" spans="1:2" x14ac:dyDescent="0.35">
      <c r="A22" s="33" t="s">
        <v>141</v>
      </c>
      <c r="B22" s="60">
        <f>(B13*B17-B19)/B18</f>
        <v>1381.0006360493828</v>
      </c>
    </row>
  </sheetData>
  <mergeCells count="1">
    <mergeCell ref="A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82A-B85B-4C6E-9A03-41E530FF523B}">
  <dimension ref="A1:G14"/>
  <sheetViews>
    <sheetView showGridLines="0" tabSelected="1" zoomScale="75" zoomScaleNormal="100" workbookViewId="0">
      <selection activeCell="P13" sqref="P13"/>
    </sheetView>
  </sheetViews>
  <sheetFormatPr defaultColWidth="8.6328125" defaultRowHeight="14.5" x14ac:dyDescent="0.35"/>
  <cols>
    <col min="1" max="1" width="36.36328125" style="1" customWidth="1"/>
    <col min="2" max="2" width="22.1796875" style="1" customWidth="1"/>
    <col min="3" max="3" width="27.26953125" style="1" customWidth="1"/>
    <col min="4" max="8" width="15" style="1" customWidth="1"/>
    <col min="9" max="16384" width="8.6328125" style="1"/>
  </cols>
  <sheetData>
    <row r="1" spans="1:7" ht="18" x14ac:dyDescent="0.4">
      <c r="A1" s="15" t="s">
        <v>143</v>
      </c>
    </row>
    <row r="3" spans="1:7" ht="30" customHeight="1" x14ac:dyDescent="0.35">
      <c r="A3" s="61" t="s">
        <v>100</v>
      </c>
      <c r="B3" s="61" t="s">
        <v>81</v>
      </c>
      <c r="C3" s="61" t="s">
        <v>82</v>
      </c>
      <c r="D3" s="61" t="s">
        <v>101</v>
      </c>
      <c r="E3" s="61" t="s">
        <v>102</v>
      </c>
      <c r="F3" s="61"/>
      <c r="G3" s="61"/>
    </row>
    <row r="4" spans="1:7" ht="30" customHeight="1" x14ac:dyDescent="0.5">
      <c r="A4" s="56">
        <f>DCF!B21</f>
        <v>1018.9383533134522</v>
      </c>
      <c r="B4" s="56">
        <f>DCF!B22</f>
        <v>1183</v>
      </c>
      <c r="C4" s="57">
        <f>DCF!B23</f>
        <v>-0.13868271063951632</v>
      </c>
      <c r="D4" s="57">
        <f>Inputs!B38</f>
        <v>0.13184926702553057</v>
      </c>
      <c r="E4" s="57">
        <f>DCF!B17</f>
        <v>0.67418461374761463</v>
      </c>
      <c r="F4" s="61"/>
      <c r="G4" s="61"/>
    </row>
    <row r="6" spans="1:7" ht="18" customHeight="1" x14ac:dyDescent="0.35">
      <c r="A6" s="28" t="s">
        <v>139</v>
      </c>
      <c r="B6" s="3"/>
      <c r="C6" s="3"/>
      <c r="D6" s="3"/>
      <c r="E6" s="3"/>
      <c r="F6" s="3"/>
      <c r="G6" s="3"/>
    </row>
    <row r="8" spans="1:7" x14ac:dyDescent="0.35">
      <c r="A8" s="46" t="s">
        <v>103</v>
      </c>
      <c r="B8" s="62" t="s">
        <v>104</v>
      </c>
      <c r="C8" s="62" t="s">
        <v>105</v>
      </c>
      <c r="D8" s="62" t="s">
        <v>106</v>
      </c>
      <c r="F8" s="27" t="s">
        <v>107</v>
      </c>
      <c r="G8" s="27" t="s">
        <v>108</v>
      </c>
    </row>
    <row r="9" spans="1:7" x14ac:dyDescent="0.35">
      <c r="A9" s="16" t="s">
        <v>109</v>
      </c>
      <c r="B9" s="49">
        <f>MIN(DCF!B27:F31)</f>
        <v>863.30868315388454</v>
      </c>
      <c r="C9" s="49">
        <f>MAX(DCF!B27:F31)</f>
        <v>1259.7328659090826</v>
      </c>
      <c r="D9" s="49">
        <f>DCF!B21</f>
        <v>1018.9383533134522</v>
      </c>
      <c r="F9" s="58">
        <f>B9</f>
        <v>863.30868315388454</v>
      </c>
      <c r="G9" s="58">
        <f>C9-B9</f>
        <v>396.4241827551981</v>
      </c>
    </row>
    <row r="10" spans="1:7" x14ac:dyDescent="0.35">
      <c r="A10" s="16" t="s">
        <v>110</v>
      </c>
      <c r="B10" s="49">
        <f>Comps!B21*0.95</f>
        <v>1319.242811469351</v>
      </c>
      <c r="C10" s="49">
        <f>Comps!B21*1.05</f>
        <v>1458.1104758345457</v>
      </c>
      <c r="D10" s="49">
        <f>Comps!B21</f>
        <v>1388.6766436519483</v>
      </c>
      <c r="F10" s="58">
        <f>B10</f>
        <v>1319.242811469351</v>
      </c>
      <c r="G10" s="58">
        <f>C10-B10</f>
        <v>138.86766436519474</v>
      </c>
    </row>
    <row r="11" spans="1:7" x14ac:dyDescent="0.35">
      <c r="A11" s="16" t="s">
        <v>111</v>
      </c>
      <c r="B11" s="49">
        <f>Comps!B22*0.95</f>
        <v>1311.9506042469136</v>
      </c>
      <c r="C11" s="49">
        <f>Comps!B22*1.05</f>
        <v>1450.050667851852</v>
      </c>
      <c r="D11" s="49">
        <f>Comps!B22</f>
        <v>1381.0006360493828</v>
      </c>
      <c r="F11" s="58">
        <f>B11</f>
        <v>1311.9506042469136</v>
      </c>
      <c r="G11" s="58">
        <f>C11-B11</f>
        <v>138.10006360493844</v>
      </c>
    </row>
    <row r="12" spans="1:7" x14ac:dyDescent="0.35">
      <c r="A12" s="16" t="s">
        <v>81</v>
      </c>
      <c r="B12" s="49">
        <f>Inputs!$B$4</f>
        <v>1183</v>
      </c>
      <c r="C12" s="49">
        <f>Inputs!$B$4</f>
        <v>1183</v>
      </c>
      <c r="D12" s="49">
        <f>Inputs!$B$4</f>
        <v>1183</v>
      </c>
      <c r="F12" s="58">
        <f>B12</f>
        <v>1183</v>
      </c>
      <c r="G12" s="58">
        <f>C12-B12</f>
        <v>0</v>
      </c>
    </row>
    <row r="14" spans="1:7" x14ac:dyDescent="0.35">
      <c r="A14" s="65"/>
      <c r="B14" s="65"/>
      <c r="C14" s="65"/>
      <c r="D14" s="65"/>
      <c r="E14" s="65"/>
      <c r="F14" s="65"/>
    </row>
  </sheetData>
  <mergeCells count="1">
    <mergeCell ref="A14:F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Historicals</vt:lpstr>
      <vt:lpstr>Beta Calc</vt:lpstr>
      <vt:lpstr>Forecast</vt:lpstr>
      <vt:lpstr>DCF</vt:lpstr>
      <vt:lpstr>Comps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deborahblessy07@outlook.com</dc:creator>
  <cp:lastModifiedBy>deborahblessy07@outlook.com</cp:lastModifiedBy>
  <dcterms:created xsi:type="dcterms:W3CDTF">2026-08-04T17:56:09Z</dcterms:created>
  <dcterms:modified xsi:type="dcterms:W3CDTF">2026-10-17T09:35:05Z</dcterms:modified>
</cp:coreProperties>
</file>